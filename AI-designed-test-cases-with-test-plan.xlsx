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nvy\Documents\Documents for Incubyte\COE\"/>
    </mc:Choice>
  </mc:AlternateContent>
  <xr:revisionPtr revIDLastSave="0" documentId="13_ncr:1_{D0C692E6-A7F5-434D-85F4-DFD1C3311AB8}" xr6:coauthVersionLast="47" xr6:coauthVersionMax="47" xr10:uidLastSave="{00000000-0000-0000-0000-000000000000}"/>
  <bookViews>
    <workbookView xWindow="28680" yWindow="-45" windowWidth="29040" windowHeight="15720" tabRatio="500" activeTab="8" xr2:uid="{00000000-000D-0000-FFFF-FFFF00000000}"/>
  </bookViews>
  <sheets>
    <sheet name="Test Plan" sheetId="1" r:id="rId1"/>
    <sheet name="Summary" sheetId="2" r:id="rId2"/>
    <sheet name="EP Analysis" sheetId="3" r:id="rId3"/>
    <sheet name="TC - EP" sheetId="4" r:id="rId4"/>
    <sheet name="BVA Analysis" sheetId="5" r:id="rId5"/>
    <sheet name="TC - BVA" sheetId="6" r:id="rId6"/>
    <sheet name="STT Model" sheetId="7" r:id="rId7"/>
    <sheet name="TC - STT" sheetId="8" r:id="rId8"/>
    <sheet name="Test Data" sheetId="9" r:id="rId9"/>
  </sheets>
  <externalReferences>
    <externalReference r:id="rId10"/>
  </externalReferences>
  <definedNames>
    <definedName name="_xlnm._FilterDatabase" localSheetId="4" hidden="1">'BVA Analysis'!$A$3:$F$23</definedName>
    <definedName name="_xlnm._FilterDatabase" localSheetId="2" hidden="1">'EP Analysis'!$A$3:$G$43</definedName>
    <definedName name="_xlnm._FilterDatabase" localSheetId="5" hidden="1">'TC - BVA'!$A$3:$M$40</definedName>
    <definedName name="_xlnm._FilterDatabase" localSheetId="3" hidden="1">'TC - EP'!$A$3:$M$34</definedName>
    <definedName name="_xlnm._FilterDatabase" localSheetId="7" hidden="1">'TC - STT'!$A$3:$M$22</definedName>
    <definedName name="_xlnm._FilterDatabase" localSheetId="8" hidden="1">'Test Data'!$A$3:$G$31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9" l="1"/>
  <c r="E31" i="9" s="1"/>
  <c r="G31" i="9" s="1"/>
  <c r="D30" i="9"/>
  <c r="E30" i="9" s="1"/>
  <c r="G30" i="9" s="1"/>
  <c r="D29" i="9"/>
  <c r="E29" i="9" s="1"/>
  <c r="G29" i="9" s="1"/>
  <c r="D28" i="9"/>
  <c r="E28" i="9" s="1"/>
  <c r="G28" i="9" s="1"/>
  <c r="D27" i="9"/>
  <c r="E27" i="9" s="1"/>
  <c r="G27" i="9" s="1"/>
  <c r="D26" i="9"/>
  <c r="E26" i="9" s="1"/>
  <c r="G26" i="9" s="1"/>
  <c r="D25" i="9"/>
  <c r="E25" i="9" s="1"/>
  <c r="G25" i="9" s="1"/>
  <c r="D24" i="9"/>
  <c r="E24" i="9" s="1"/>
  <c r="G24" i="9" s="1"/>
  <c r="D23" i="9"/>
  <c r="E23" i="9" s="1"/>
  <c r="G23" i="9" s="1"/>
  <c r="D22" i="9"/>
  <c r="E22" i="9" s="1"/>
  <c r="G22" i="9" s="1"/>
  <c r="D21" i="9"/>
  <c r="E21" i="9" s="1"/>
  <c r="G21" i="9" s="1"/>
  <c r="D20" i="9"/>
  <c r="E20" i="9" s="1"/>
  <c r="G20" i="9" s="1"/>
  <c r="D19" i="9"/>
  <c r="E19" i="9" s="1"/>
  <c r="G19" i="9" s="1"/>
  <c r="E18" i="9"/>
  <c r="G18" i="9" s="1"/>
  <c r="D18" i="9"/>
  <c r="E17" i="9"/>
  <c r="G17" i="9" s="1"/>
  <c r="E16" i="9"/>
  <c r="G16" i="9" s="1"/>
  <c r="D15" i="9"/>
  <c r="E15" i="9" s="1"/>
  <c r="G15" i="9" s="1"/>
  <c r="D14" i="9"/>
  <c r="E14" i="9" s="1"/>
  <c r="G14" i="9" s="1"/>
  <c r="D13" i="9"/>
  <c r="E13" i="9" s="1"/>
  <c r="G13" i="9" s="1"/>
  <c r="D12" i="9"/>
  <c r="E12" i="9" s="1"/>
  <c r="G12" i="9" s="1"/>
  <c r="D11" i="9"/>
  <c r="E11" i="9" s="1"/>
  <c r="G11" i="9" s="1"/>
  <c r="D10" i="9"/>
  <c r="E10" i="9" s="1"/>
  <c r="G10" i="9" s="1"/>
  <c r="D9" i="9"/>
  <c r="E9" i="9" s="1"/>
  <c r="G9" i="9" s="1"/>
  <c r="D8" i="9"/>
  <c r="E8" i="9" s="1"/>
  <c r="G8" i="9" s="1"/>
  <c r="E7" i="9"/>
  <c r="G7" i="9" s="1"/>
  <c r="D6" i="9"/>
  <c r="E6" i="9" s="1"/>
  <c r="G6" i="9" s="1"/>
  <c r="D5" i="9"/>
  <c r="E5" i="9" s="1"/>
  <c r="G5" i="9" s="1"/>
  <c r="E4" i="9"/>
  <c r="G4" i="9" s="1"/>
  <c r="B14" i="2"/>
  <c r="B13" i="2"/>
  <c r="B12" i="2"/>
  <c r="B11" i="2"/>
  <c r="B10" i="2"/>
  <c r="K6" i="2"/>
  <c r="J6" i="2"/>
  <c r="I6" i="2"/>
  <c r="F6" i="2"/>
  <c r="E6" i="2"/>
  <c r="D6" i="2"/>
  <c r="H6" i="2" s="1"/>
  <c r="C6" i="2"/>
  <c r="G6" i="2" s="1"/>
  <c r="B6" i="2"/>
  <c r="K5" i="2"/>
  <c r="J5" i="2"/>
  <c r="I5" i="2"/>
  <c r="F5" i="2"/>
  <c r="E5" i="2"/>
  <c r="D5" i="2"/>
  <c r="H5" i="2" s="1"/>
  <c r="C5" i="2"/>
  <c r="G5" i="2" s="1"/>
  <c r="B5" i="2"/>
  <c r="K4" i="2"/>
  <c r="K7" i="2" s="1"/>
  <c r="J4" i="2"/>
  <c r="J7" i="2" s="1"/>
  <c r="I4" i="2"/>
  <c r="I7" i="2" s="1"/>
  <c r="F4" i="2"/>
  <c r="F7" i="2" s="1"/>
  <c r="E4" i="2"/>
  <c r="E7" i="2" s="1"/>
  <c r="D4" i="2"/>
  <c r="C4" i="2"/>
  <c r="C7" i="2" s="1"/>
  <c r="B4" i="2"/>
  <c r="D7" i="2" l="1"/>
  <c r="H7" i="2" s="1"/>
  <c r="H4" i="2"/>
  <c r="B7" i="2"/>
  <c r="G7" i="2" s="1"/>
  <c r="G4" i="2"/>
</calcChain>
</file>

<file path=xl/sharedStrings.xml><?xml version="1.0" encoding="utf-8"?>
<sst xmlns="http://schemas.openxmlformats.org/spreadsheetml/2006/main" count="1862" uniqueCount="1027">
  <si>
    <t>Test Design Specification - Registration (EP, BVA) &amp; Login (State Transition)</t>
  </si>
  <si>
    <t>Structured per ISTQB CTFL v4.0: test analysis (conditions) -&gt; test design (coverage items, cases) -&gt; test implementation (data, preconditions).</t>
  </si>
  <si>
    <t>1. Identification</t>
  </si>
  <si>
    <t>Test objects</t>
  </si>
  <si>
    <t>Customer registration form: https://practicesoftwaretesting.com/auth/register
Login page: https://practicesoftwaretesting.com/auth/login (Toolshop v5.0)</t>
  </si>
  <si>
    <t>Scope</t>
  </si>
  <si>
    <t>In: client-side and server-side field validation on registration (EP, BVA); authentication states, failed-attempt counter, lockout, unlock, TOTP and disabled-account behaviour on login (State Transition).
Out: social login, forgot password, UI layout, accessibility, performance, security penetration, cross-browser.</t>
  </si>
  <si>
    <t>2. Test basis</t>
  </si>
  <si>
    <t>Requirements</t>
  </si>
  <si>
    <t>_user-stories/sprint0/us-register.md and us-login.md (GitHub: testsmith-io/practice-software-testing). NOTE: us-register.md contains the login story text, so registration has no written acceptance criteria (see Open Questions Q1).</t>
  </si>
  <si>
    <t>Specification derived from code</t>
  </si>
  <si>
    <t>Because written requirements are incomplete, rules were taken from the published source (main branch, sprint5):
- UI validators: sprint5/UI/src/app/auth/register/register.component.ts, login.component.ts
- API rules: sprint5/API/app/Http/Requests/Customer/StoreCustomer.php
- Lockout logic: sprint5/API/app/Services/UserService.php (MAX_LOGIN_ATTEMPTS = 3)
- UI messages: sprint5/UI/src/assets/i18n/en.json
The deployed site may differ from main; any mismatch is logged as an anomaly, not silently accepted.</t>
  </si>
  <si>
    <t>3. Techniques &amp; coverage criteria</t>
  </si>
  <si>
    <t>Equivalence Partitioning</t>
  </si>
  <si>
    <t>Sheet 'EP Analysis' -&gt; 'TC - EP'. Coverage criterion: each valid and invalid partition exercised at least once. Valid partitions are combined in one case; invalid partitions are tested one per case (all other fields valid) to avoid defect masking.</t>
  </si>
  <si>
    <t>Boundary Value Analysis</t>
  </si>
  <si>
    <t>Sheet 'BVA Analysis' -&gt; 'TC - BVA'. 2-value BVA (boundary + nearest neighbour across it) for length limits. 3-value BVA (boundary and both neighbours) for the high-risk age limits (18 and 75). Boundaries at 0 characters reuse EP cases rather than duplicating them.</t>
  </si>
  <si>
    <t>State Transition Testing</t>
  </si>
  <si>
    <t>Sheet 'STT Model' -&gt; 'TC - STT'. Coverage: all states, all valid transitions (0-switch), selected invalid transitions (events rejected in Locked / Disabled states), plus one 1-switch sequence proving the counter resets after a successful login.</t>
  </si>
  <si>
    <t>4. Environment &amp; entry criteria</t>
  </si>
  <si>
    <t>Environment</t>
  </si>
  <si>
    <t>Chrome (latest), desktop, public demo site. Cases marked 'LOCAL' need a self-hosted Docker instance (they change shared admin data).</t>
  </si>
  <si>
    <t>Entry criteria</t>
  </si>
  <si>
    <t>Site reachable; demo data present (admin@practicesoftwaretesting.com / welcome01); tester has a TOTP authenticator app for TOTP cases.</t>
  </si>
  <si>
    <t>Date-dependent cases</t>
  </si>
  <si>
    <t>Age boundaries are calculated from TODAY in sheet 'Test Data' (re-opens with current values). Run them between 05:30 and 23:59 IST so the IST date equals the server (UTC) date.</t>
  </si>
  <si>
    <t>5. Common preconditions</t>
  </si>
  <si>
    <t>PRE-R1 (Register)</t>
  </si>
  <si>
    <t>Logged out. Open /auth/register. Enter the Baseline Data below in every field except the one(s) named in 'Test Data'. Enter Country, Postcode and House number BEFORE Street/City/State (postcode lookup may auto-fill those three; overwrite if needed).</t>
  </si>
  <si>
    <t>Baseline Data</t>
  </si>
  <si>
    <t>First name: Asha | Last name: Patil | DOB: 1995-06-15 | Country: India | Postcode: 411018 | House number: 12 | Street: Station Road | City: Pune | State: Maharashtra | Phone: 9876543210 | Email: qa.&lt;tc-id&gt;.&lt;run&gt;@example.com (e.g. qa.tcbva02.r1@example.com - must be unique every run) | Password: Tq7#mLpz9</t>
  </si>
  <si>
    <t>PRE-L1 (Login)</t>
  </si>
  <si>
    <t>A customer account registered for THIS case only (never reuse a locked account), failed attempts = 0. Logged out on /auth/login. Wrong password used for failures: Wrong#123x.</t>
  </si>
  <si>
    <t>PRE-ADMIN</t>
  </si>
  <si>
    <t>Unlock / disable path: log in as admin@practicesoftwaretesting.com / welcome01 -&gt; Users -&gt; edit the test user -&gt; set 'Failed login attempts' = 0 (unlock) or untick 'Enabled' (disable) -&gt; Save -&gt; log out.</t>
  </si>
  <si>
    <t>6. Legend</t>
  </si>
  <si>
    <t>Priority (execution order)</t>
  </si>
  <si>
    <t>P1 = must run every cycle (core flow / high risk); P2 = run each release; P3 = run when time allows.</t>
  </si>
  <si>
    <t>Severity (impact if the case fails)</t>
  </si>
  <si>
    <t>Critical = security, legal (age) or core flow blocked; Major = wrong validation, bad data accepted; Minor = wording / usability. Per ISTQB, severity is formally a defect attribute; here it is the expected severity of a failure.</t>
  </si>
  <si>
    <t>Status</t>
  </si>
  <si>
    <t>Not Run / Pass / Fail / Blocked (drop-down on each TC sheet). 'Code review predicts FAIL' in Remarks = static analysis found a likely defect before execution.</t>
  </si>
  <si>
    <t>7. Exit criteria</t>
  </si>
  <si>
    <t>100% of P1 executed and passed or defects raised; all partitions, boundaries and valid transitions covered (see 'Summary'); open questions answered or accepted as risks.</t>
  </si>
  <si>
    <t>Execution &amp; Coverage Summary (updates automatically from the Status column)</t>
  </si>
  <si>
    <t>Technique / sheet</t>
  </si>
  <si>
    <t>Total</t>
  </si>
  <si>
    <t>Not Run</t>
  </si>
  <si>
    <t>Pass</t>
  </si>
  <si>
    <t>Fail</t>
  </si>
  <si>
    <t>Blocked</t>
  </si>
  <si>
    <t>Executed %</t>
  </si>
  <si>
    <t>Pass rate (of executed)</t>
  </si>
  <si>
    <t>P1</t>
  </si>
  <si>
    <t>P2</t>
  </si>
  <si>
    <t>P3</t>
  </si>
  <si>
    <t>TC - EP</t>
  </si>
  <si>
    <t>TC - BVA</t>
  </si>
  <si>
    <t>TC - STT</t>
  </si>
  <si>
    <t>Test-design coverage</t>
  </si>
  <si>
    <t>EP partitions covered</t>
  </si>
  <si>
    <t>All partitions mapped to at least one TC</t>
  </si>
  <si>
    <t>BVA boundaries analysed</t>
  </si>
  <si>
    <t>1 row (password max) not designable - Q6</t>
  </si>
  <si>
    <t>STT transitions covered</t>
  </si>
  <si>
    <t>All states 7/7; valid + key invalid transitions</t>
  </si>
  <si>
    <t>Open questions</t>
  </si>
  <si>
    <t>Resolve before sign-off</t>
  </si>
  <si>
    <t>Cases predicted to fail by code review</t>
  </si>
  <si>
    <t>See Q3, Q10</t>
  </si>
  <si>
    <t>Equivalence Partitioning - Test Analysis (Registration)</t>
  </si>
  <si>
    <t>V = valid partition, I = invalid partition. One representative value per partition is sufficient by EP theory.</t>
  </si>
  <si>
    <t>Field</t>
  </si>
  <si>
    <t>Partition ID</t>
  </si>
  <si>
    <t>Partition</t>
  </si>
  <si>
    <t>V / I</t>
  </si>
  <si>
    <t>Representative value</t>
  </si>
  <si>
    <t>Rule (source)</t>
  </si>
  <si>
    <t>Covered by</t>
  </si>
  <si>
    <t>First name</t>
  </si>
  <si>
    <t>EP-FN-V1</t>
  </si>
  <si>
    <t>Non-empty text</t>
  </si>
  <si>
    <t>V</t>
  </si>
  <si>
    <t>Asha</t>
  </si>
  <si>
    <t>UI required; API string max 40</t>
  </si>
  <si>
    <t>TC-EP-01</t>
  </si>
  <si>
    <t>EP-FN-I1</t>
  </si>
  <si>
    <t>Empty</t>
  </si>
  <si>
    <t>I</t>
  </si>
  <si>
    <t>(blank)</t>
  </si>
  <si>
    <t>UI required</t>
  </si>
  <si>
    <t>TC-EP-03</t>
  </si>
  <si>
    <t>EP-FN-I2</t>
  </si>
  <si>
    <t>Whitespace only</t>
  </si>
  <si>
    <t>3 spaces</t>
  </si>
  <si>
    <t>API TrimStrings + required</t>
  </si>
  <si>
    <t>TC-EP-04</t>
  </si>
  <si>
    <t>EP-FN-I3</t>
  </si>
  <si>
    <t>Contains superscript/subscript chars</t>
  </si>
  <si>
    <t>Asha²</t>
  </si>
  <si>
    <t>API SubscriptSuperscriptRule</t>
  </si>
  <si>
    <t>TC-EP-05</t>
  </si>
  <si>
    <t>Last name</t>
  </si>
  <si>
    <t>EP-LN-V1</t>
  </si>
  <si>
    <t>Patil</t>
  </si>
  <si>
    <t>UI required; API max 20</t>
  </si>
  <si>
    <t>EP-LN-I1</t>
  </si>
  <si>
    <t>TC-EP-06</t>
  </si>
  <si>
    <t>DOB format</t>
  </si>
  <si>
    <t>EP-DOB-V1</t>
  </si>
  <si>
    <t>Real calendar date in YYYY-MM-DD</t>
  </si>
  <si>
    <t>1995-06-15</t>
  </si>
  <si>
    <t>UI isoDate; API date_format:Y-m-d</t>
  </si>
  <si>
    <t>EP-DOB-I1</t>
  </si>
  <si>
    <t>Wrong format</t>
  </si>
  <si>
    <t>15-06-1995</t>
  </si>
  <si>
    <t>UI isoDate</t>
  </si>
  <si>
    <t>TC-EP-07</t>
  </si>
  <si>
    <t>EP-DOB-I2</t>
  </si>
  <si>
    <t>Correct format, non-existent date</t>
  </si>
  <si>
    <t>1995-02-30</t>
  </si>
  <si>
    <t>UI isoDate (UTC check)</t>
  </si>
  <si>
    <t>TC-EP-08</t>
  </si>
  <si>
    <t>EP-DOB-I3</t>
  </si>
  <si>
    <t>TC-EP-09</t>
  </si>
  <si>
    <t>Age (from DOB)</t>
  </si>
  <si>
    <t>EP-AGE-I1</t>
  </si>
  <si>
    <t>Under 18</t>
  </si>
  <si>
    <t>Age 10 (TD-27)</t>
  </si>
  <si>
    <t>API before: today-18y</t>
  </si>
  <si>
    <t>TC-EP-10</t>
  </si>
  <si>
    <t>EP-AGE-V1</t>
  </si>
  <si>
    <t>18 to 74</t>
  </si>
  <si>
    <t>Age 31 (1995-06-15)</t>
  </si>
  <si>
    <t>API before/after</t>
  </si>
  <si>
    <t>EP-AGE-I2</t>
  </si>
  <si>
    <t>75 or older</t>
  </si>
  <si>
    <t>Age 80 (TD-28)</t>
  </si>
  <si>
    <t>API after: today-75y (message)</t>
  </si>
  <si>
    <t>TC-EP-11</t>
  </si>
  <si>
    <t>Country</t>
  </si>
  <si>
    <t>EP-CTY-V1</t>
  </si>
  <si>
    <t>Country selected</t>
  </si>
  <si>
    <t>India</t>
  </si>
  <si>
    <t>EP-CTY-I1</t>
  </si>
  <si>
    <t>No country selected</t>
  </si>
  <si>
    <t>(placeholder)</t>
  </si>
  <si>
    <t>TC-EP-12</t>
  </si>
  <si>
    <t>Postcode</t>
  </si>
  <si>
    <t>EP-PC-V1</t>
  </si>
  <si>
    <t>Country has a pattern, postcode matches</t>
  </si>
  <si>
    <t>Germany / 10115</t>
  </si>
  <si>
    <t>UI + API PostcodeFormat</t>
  </si>
  <si>
    <t>TC-EP-02</t>
  </si>
  <si>
    <t>EP-PC-I1</t>
  </si>
  <si>
    <t>Country has a pattern, postcode does not match</t>
  </si>
  <si>
    <t>Germany / ABCDE</t>
  </si>
  <si>
    <t>TC-EP-13</t>
  </si>
  <si>
    <t>EP-PC-V2</t>
  </si>
  <si>
    <t>Country without a pattern, any value &lt;= 10 chars</t>
  </si>
  <si>
    <t>India / 411018</t>
  </si>
  <si>
    <t>No pattern for IN; API max 10</t>
  </si>
  <si>
    <t>EP-PC-I2</t>
  </si>
  <si>
    <t>TC-EP-14</t>
  </si>
  <si>
    <t>House number</t>
  </si>
  <si>
    <t>EP-HN-V1</t>
  </si>
  <si>
    <t>Non-empty</t>
  </si>
  <si>
    <t>12</t>
  </si>
  <si>
    <t>EP-HN-I1</t>
  </si>
  <si>
    <t>TC-EP-15</t>
  </si>
  <si>
    <t>Street</t>
  </si>
  <si>
    <t>EP-ST-V1 / I1</t>
  </si>
  <si>
    <t>Non-empty / Empty</t>
  </si>
  <si>
    <t>Station Road / (blank)</t>
  </si>
  <si>
    <t>TC-EP-01 / TC-EP-16</t>
  </si>
  <si>
    <t>City</t>
  </si>
  <si>
    <t>EP-CI-V1 / I1</t>
  </si>
  <si>
    <t>Pune / (blank)</t>
  </si>
  <si>
    <t>TC-EP-01 / TC-EP-17</t>
  </si>
  <si>
    <t>State</t>
  </si>
  <si>
    <t>EP-SA-V1 / I1</t>
  </si>
  <si>
    <t>Maharashtra / (blank)</t>
  </si>
  <si>
    <t>TC-EP-01 / TC-EP-18</t>
  </si>
  <si>
    <t>Phone</t>
  </si>
  <si>
    <t>EP-PH-V1</t>
  </si>
  <si>
    <t>Digits only</t>
  </si>
  <si>
    <t>9876543210</t>
  </si>
  <si>
    <t>UI pattern ^\d\d*$</t>
  </si>
  <si>
    <t>EP-PH-I1</t>
  </si>
  <si>
    <t>Contains letters</t>
  </si>
  <si>
    <t>98765abcde</t>
  </si>
  <si>
    <t>UI pattern</t>
  </si>
  <si>
    <t>TC-EP-19</t>
  </si>
  <si>
    <t>EP-PH-I2</t>
  </si>
  <si>
    <t>Contains +, spaces or symbols</t>
  </si>
  <si>
    <t>+91 98765 43210</t>
  </si>
  <si>
    <t>UI pattern (see Q8)</t>
  </si>
  <si>
    <t>TC-EP-20</t>
  </si>
  <si>
    <t>EP-PH-I3</t>
  </si>
  <si>
    <t>TC-EP-21</t>
  </si>
  <si>
    <t>Email</t>
  </si>
  <si>
    <t>EP-EM-V1</t>
  </si>
  <si>
    <t>Valid format, not yet registered</t>
  </si>
  <si>
    <t>qa.tcep01.r1@example.com</t>
  </si>
  <si>
    <t>UI pattern; API unique</t>
  </si>
  <si>
    <t>EP-EM-I1</t>
  </si>
  <si>
    <t>Missing @</t>
  </si>
  <si>
    <t>asha.patil.example.com</t>
  </si>
  <si>
    <t>TC-EP-22</t>
  </si>
  <si>
    <t>EP-EM-I2</t>
  </si>
  <si>
    <t>Disallowed character (space)</t>
  </si>
  <si>
    <t>asha patil@example.com</t>
  </si>
  <si>
    <t>TC-EP-23</t>
  </si>
  <si>
    <t>EP-EM-I3</t>
  </si>
  <si>
    <t>Valid format, already registered</t>
  </si>
  <si>
    <t>customer@practicesoftwaretesting.com</t>
  </si>
  <si>
    <t>API unique:users,email</t>
  </si>
  <si>
    <t>TC-EP-24</t>
  </si>
  <si>
    <t>EP-EM-I4</t>
  </si>
  <si>
    <t>TC-EP-25</t>
  </si>
  <si>
    <t>Password</t>
  </si>
  <si>
    <t>EP-PW-V1</t>
  </si>
  <si>
    <t>&gt;=8 chars, upper, lower, digit, symbol, not leaked</t>
  </si>
  <si>
    <t>Tq7#mLpz9</t>
  </si>
  <si>
    <t>UI validators; API Password rule</t>
  </si>
  <si>
    <t>EP-PW-I1</t>
  </si>
  <si>
    <t>No uppercase</t>
  </si>
  <si>
    <t>tq7#mlpz9</t>
  </si>
  <si>
    <t>UI mixedCase</t>
  </si>
  <si>
    <t>TC-EP-26</t>
  </si>
  <si>
    <t>EP-PW-I2</t>
  </si>
  <si>
    <t>No lowercase</t>
  </si>
  <si>
    <t>TQ7#MLPZ9</t>
  </si>
  <si>
    <t>TC-EP-27</t>
  </si>
  <si>
    <t>EP-PW-I3</t>
  </si>
  <si>
    <t>No digit</t>
  </si>
  <si>
    <t>Tqx#mLpzW</t>
  </si>
  <si>
    <t>UI hasNumber</t>
  </si>
  <si>
    <t>TC-EP-28</t>
  </si>
  <si>
    <t>EP-PW-I4</t>
  </si>
  <si>
    <t>No symbol</t>
  </si>
  <si>
    <t>Tq7xmLpz9</t>
  </si>
  <si>
    <t>UI hasSymbol</t>
  </si>
  <si>
    <t>TC-EP-29</t>
  </si>
  <si>
    <t>EP-PW-I5</t>
  </si>
  <si>
    <t>Meets composition but appears in a data breach</t>
  </si>
  <si>
    <t>P@ssw0rd</t>
  </si>
  <si>
    <t>API uncompromised()</t>
  </si>
  <si>
    <t>TC-EP-30</t>
  </si>
  <si>
    <t>EP-PW-I6</t>
  </si>
  <si>
    <t>TC-EP-31</t>
  </si>
  <si>
    <t>Test Cases - Equivalence Partitioning - Registration</t>
  </si>
  <si>
    <t>Fill Actual result and Status during execution. Test data IDs (TD-xx) refer to sheet 'Test Data'.</t>
  </si>
  <si>
    <t>TC ID</t>
  </si>
  <si>
    <t>Test condition</t>
  </si>
  <si>
    <t>Coverage item</t>
  </si>
  <si>
    <t>Title</t>
  </si>
  <si>
    <t>Preconditions</t>
  </si>
  <si>
    <t>Test data</t>
  </si>
  <si>
    <t>Test steps</t>
  </si>
  <si>
    <t>Expected result</t>
  </si>
  <si>
    <t>Priority</t>
  </si>
  <si>
    <t>Severity</t>
  </si>
  <si>
    <t>Actual result</t>
  </si>
  <si>
    <t>Remarks</t>
  </si>
  <si>
    <t>Registration with all valid partitions</t>
  </si>
  <si>
    <t>All V1 partitions; EP-PC-V2</t>
  </si>
  <si>
    <t>Register with valid data (country without postcode pattern)</t>
  </si>
  <si>
    <t>PRE-R1</t>
  </si>
  <si>
    <t>Baseline Data (India / 411018); Email qa.tcep01.&lt;run&gt;@example.com</t>
  </si>
  <si>
    <t>1. Complete PRE-R1.
2. Click Register.</t>
  </si>
  <si>
    <t>Registration succeeds; user is redirected to the Login page (/auth/login). New account can log in.</t>
  </si>
  <si>
    <t>Critical</t>
  </si>
  <si>
    <t>Postcode matching country pattern</t>
  </si>
  <si>
    <t>Register with Germany and a valid 5-digit postcode</t>
  </si>
  <si>
    <t>Country: Germany; Postcode: 10115</t>
  </si>
  <si>
    <t>1. Complete PRE-R1.
2. Country / Postcode: enter Germany / 10115.
3. Click Register.</t>
  </si>
  <si>
    <t>Registration succeeds; user is redirected to the Login page (/auth/login). New account can log in. Also serves as BVA 5-digit boundary.</t>
  </si>
  <si>
    <t>Major</t>
  </si>
  <si>
    <t>First name mandatory</t>
  </si>
  <si>
    <t>Reject empty first name</t>
  </si>
  <si>
    <t>First name: (blank)</t>
  </si>
  <si>
    <t>1. Complete PRE-R1.
2. Leave First name empty.
3. Click Register.</t>
  </si>
  <si>
    <t>Form is not submitted / account not created. Stays on Register page. Error under the field: 'First name is required'.</t>
  </si>
  <si>
    <t>First name not whitespace</t>
  </si>
  <si>
    <t>Reject whitespace-only first name</t>
  </si>
  <si>
    <t>First name: 3 spaces</t>
  </si>
  <si>
    <t>1. Complete PRE-R1.
2. First name: enter 3 spaces.
3. Click Register.</t>
  </si>
  <si>
    <t>Account not created. Error stating first name is required.</t>
  </si>
  <si>
    <t>UI 'required' does not trim; relies on server trimming.</t>
  </si>
  <si>
    <t>First name character set</t>
  </si>
  <si>
    <t>Reject superscript characters in first name</t>
  </si>
  <si>
    <t>First name: Asha²</t>
  </si>
  <si>
    <t>1. Complete PRE-R1.
2. First name: enter Asha².
3. Click Register.</t>
  </si>
  <si>
    <t>Account not created. Stays on Register page. Server error shown at top of form stating first name must not contain subscript/superscript characters.</t>
  </si>
  <si>
    <t>Minor</t>
  </si>
  <si>
    <t>Last name mandatory</t>
  </si>
  <si>
    <t>Reject empty last name</t>
  </si>
  <si>
    <t>Last name: (blank)</t>
  </si>
  <si>
    <t>1. Complete PRE-R1.
2. Leave Last name empty.
3. Click Register.</t>
  </si>
  <si>
    <t>Form is not submitted / account not created. Stays on Register page. Error under the field: 'Last name is required'.</t>
  </si>
  <si>
    <t>Reject DOB in DD-MM-YYYY</t>
  </si>
  <si>
    <t>DOB: 15-06-1995</t>
  </si>
  <si>
    <t>1. Complete PRE-R1.
2. DOB: enter 15-06-1995.
3. Click Register.</t>
  </si>
  <si>
    <t>Form is not submitted / account not created. Stays on Register page. Error under the field: 'Please enter a valid date in YYYY-MM-DD format.'.</t>
  </si>
  <si>
    <t>DOB is a real date</t>
  </si>
  <si>
    <t>Reject non-existent date</t>
  </si>
  <si>
    <t>DOB: 1995-02-30</t>
  </si>
  <si>
    <t>1. Complete PRE-R1.
2. DOB: enter 1995-02-30.
3. Click Register.</t>
  </si>
  <si>
    <t>DOB mandatory</t>
  </si>
  <si>
    <t>Reject empty DOB</t>
  </si>
  <si>
    <t>DOB: (blank)</t>
  </si>
  <si>
    <t>1. Complete PRE-R1.
2. Leave DOB empty.
3. Click Register.</t>
  </si>
  <si>
    <t>Form is not submitted / account not created. Stays on Register page. Error under the field: 'Date of Birth is required'.</t>
  </si>
  <si>
    <t>Minimum age</t>
  </si>
  <si>
    <t>Reject customer under 18</t>
  </si>
  <si>
    <t>DOB: TD-27 (age 10)</t>
  </si>
  <si>
    <t>1. Complete PRE-R1.
2. DOB: enter TD-27.
3. Click Register.</t>
  </si>
  <si>
    <t>Account not created. Stays on Register page. Server error shown at top of form stating 'Customer must be 18 years old.'.</t>
  </si>
  <si>
    <t>Legal requirement.</t>
  </si>
  <si>
    <t>Maximum age</t>
  </si>
  <si>
    <t>Reject customer aged 75 or older</t>
  </si>
  <si>
    <t>DOB: TD-28 (age 80)</t>
  </si>
  <si>
    <t>1. Complete PRE-R1.
2. DOB: enter TD-28.
3. Click Register.</t>
  </si>
  <si>
    <t>Account not created. Stays on Register page. Server error shown at top of form stating 'Customer must be younger than 75 years old.'.</t>
  </si>
  <si>
    <t>Code review predicts FAIL - see Q3.</t>
  </si>
  <si>
    <t>Country mandatory</t>
  </si>
  <si>
    <t>Reject when no country selected</t>
  </si>
  <si>
    <t>Country: not selected</t>
  </si>
  <si>
    <t>1. Complete PRE-R1 but leave Country on placeholder.
2. Click Register.</t>
  </si>
  <si>
    <t>Form is not submitted / account not created. Stays on Register page. Error under the field: 'Country is required'.</t>
  </si>
  <si>
    <t>Postcode format per country</t>
  </si>
  <si>
    <t>Reject postcode not matching Germany pattern</t>
  </si>
  <si>
    <t>Country: Germany; Postcode: ABCDE</t>
  </si>
  <si>
    <t>1. Complete PRE-R1.
2. Country / Postcode: enter Germany / ABCDE.
3. Click Register.</t>
  </si>
  <si>
    <t>Form is not submitted / account not created. Stays on Register page. Error under the field: 'Please enter a valid postal code for the selected country.'.</t>
  </si>
  <si>
    <t>Error appears while typing (field is dirty).</t>
  </si>
  <si>
    <t>Postcode mandatory</t>
  </si>
  <si>
    <t>Reject empty postcode</t>
  </si>
  <si>
    <t>Postcode: (blank)</t>
  </si>
  <si>
    <t>1. Complete PRE-R1.
2. Leave Postcode empty.
3. Click Register.</t>
  </si>
  <si>
    <t>Form is not submitted / account not created. Stays on Register page. Error under the field: 'Postcode is required'.</t>
  </si>
  <si>
    <t>House number mandatory</t>
  </si>
  <si>
    <t>Reject empty house number</t>
  </si>
  <si>
    <t>House number: (blank)</t>
  </si>
  <si>
    <t>1. Complete PRE-R1.
2. Leave House number empty.
3. Click Register.</t>
  </si>
  <si>
    <t>Form is not submitted / account not created. Stays on Register page. Error under the field: 'House number is required'.</t>
  </si>
  <si>
    <t>TC-EP-16</t>
  </si>
  <si>
    <t>Street mandatory</t>
  </si>
  <si>
    <t>EP-ST-I1</t>
  </si>
  <si>
    <t>Reject empty street</t>
  </si>
  <si>
    <t>Street: (blank)</t>
  </si>
  <si>
    <t>1. Complete PRE-R1.
2. Leave Street empty.
3. Click Register.</t>
  </si>
  <si>
    <t>Form is not submitted / account not created. Stays on Register page. Error under the field: 'Street is required'.</t>
  </si>
  <si>
    <t>Clear any auto-filled value first.</t>
  </si>
  <si>
    <t>TC-EP-17</t>
  </si>
  <si>
    <t>City mandatory</t>
  </si>
  <si>
    <t>EP-CI-I1</t>
  </si>
  <si>
    <t>Reject empty city</t>
  </si>
  <si>
    <t>City: (blank)</t>
  </si>
  <si>
    <t>1. Complete PRE-R1.
2. Leave City empty.
3. Click Register.</t>
  </si>
  <si>
    <t>Form is not submitted / account not created. Stays on Register page. Error under the field: 'City is required'.</t>
  </si>
  <si>
    <t>TC-EP-18</t>
  </si>
  <si>
    <t>State mandatory</t>
  </si>
  <si>
    <t>EP-SA-I1</t>
  </si>
  <si>
    <t>Reject empty state</t>
  </si>
  <si>
    <t>State: (blank)</t>
  </si>
  <si>
    <t>1. Complete PRE-R1.
2. Leave State empty.
3. Click Register.</t>
  </si>
  <si>
    <t>Form is not submitted / account not created. Stays on Register page. Error under the field: 'State is required'.</t>
  </si>
  <si>
    <t>Phone digits only</t>
  </si>
  <si>
    <t>Reject phone containing letters</t>
  </si>
  <si>
    <t>Phone: 98765abcde</t>
  </si>
  <si>
    <t>1. Complete PRE-R1.
2. Phone: enter 98765abcde.
3. Click Register.</t>
  </si>
  <si>
    <t>Form is not submitted / account not created. Stays on Register page. Error under the field: 'Only numbers are allowed.'.</t>
  </si>
  <si>
    <t>Reject phone with + and spaces</t>
  </si>
  <si>
    <t>Phone: +91 98765 43210</t>
  </si>
  <si>
    <t>1. Complete PRE-R1.
2. Phone: enter +91 98765 43210.
3. Click Register.</t>
  </si>
  <si>
    <t>Profile edit allows these characters - see Q8.</t>
  </si>
  <si>
    <t>Phone mandatory</t>
  </si>
  <si>
    <t>Reject empty phone</t>
  </si>
  <si>
    <t>Phone: (blank)</t>
  </si>
  <si>
    <t>1. Complete PRE-R1.
2. Leave Phone empty.
3. Click Register.</t>
  </si>
  <si>
    <t>Form is not submitted / account not created. Stays on Register page. Error under the field: 'Phone is required.'.</t>
  </si>
  <si>
    <t>Also BVA lower boundary 0.</t>
  </si>
  <si>
    <t>Email format</t>
  </si>
  <si>
    <t>Reject email without @</t>
  </si>
  <si>
    <t>Email: asha.patil.example.com</t>
  </si>
  <si>
    <t>1. Complete PRE-R1.
2. Email: enter asha.patil.example.com.
3. Click Register.</t>
  </si>
  <si>
    <t>Form is not submitted / account not created. Stays on Register page. Error under the field: 'Email format is invalid'.</t>
  </si>
  <si>
    <t>Reject email containing a space</t>
  </si>
  <si>
    <t>Email: asha patil@example.com</t>
  </si>
  <si>
    <t>1. Complete PRE-R1.
2. Email: enter asha patil@example.com.
3. Click Register.</t>
  </si>
  <si>
    <t>Email uniqueness</t>
  </si>
  <si>
    <t>Reject already registered email</t>
  </si>
  <si>
    <t>Email: customer@practicesoftwaretesting.com</t>
  </si>
  <si>
    <t>1. Complete PRE-R1.
2. Email: enter customer@practicesoftwaretesting.com.
3. Click Register.</t>
  </si>
  <si>
    <t>Account not created. Stays on Register page. Server error shown at top of form stating 'A customer with this email address already exists.'.</t>
  </si>
  <si>
    <t>Email mandatory</t>
  </si>
  <si>
    <t>Reject empty email</t>
  </si>
  <si>
    <t>Email: (blank)</t>
  </si>
  <si>
    <t>1. Complete PRE-R1.
2. Leave Email empty.
3. Click Register.</t>
  </si>
  <si>
    <t>Form is not submitted / account not created. Stays on Register page. Error under the field: 'Email is required'.</t>
  </si>
  <si>
    <t>Password composition</t>
  </si>
  <si>
    <t>Reject password without uppercase</t>
  </si>
  <si>
    <t>Password: tq7#mlpz9</t>
  </si>
  <si>
    <t>1. Complete PRE-R1.
2. Password: enter tq7#mlpz9.
3. Click Register.</t>
  </si>
  <si>
    <t>Form not submitted. Checklist item 'Contain both uppercase and lowercase letters' is not marked green; password error shown.</t>
  </si>
  <si>
    <t>Error text is misleading - see Q5.</t>
  </si>
  <si>
    <t>Reject password without lowercase</t>
  </si>
  <si>
    <t>Password: TQ7#MLPZ9</t>
  </si>
  <si>
    <t>1. Complete PRE-R1.
2. Password: enter TQ7#MLPZ9.
3. Click Register.</t>
  </si>
  <si>
    <t>Reject password without a digit</t>
  </si>
  <si>
    <t>Password: Tqx#mLpzW</t>
  </si>
  <si>
    <t>1. Complete PRE-R1.
2. Password: enter Tqx#mLpzW.
3. Click Register.</t>
  </si>
  <si>
    <t>Form not submitted. Checklist item 'Include at least one number' is not marked green; password error shown.</t>
  </si>
  <si>
    <t>Reject password without a symbol</t>
  </si>
  <si>
    <t>Password: Tq7xmLpz9</t>
  </si>
  <si>
    <t>1. Complete PRE-R1.
2. Password: enter Tq7xmLpz9.
3. Click Register.</t>
  </si>
  <si>
    <t>Form not submitted. Checklist item 'Have at least one special symbol' is not marked green; password error shown.</t>
  </si>
  <si>
    <t>Password not breached</t>
  </si>
  <si>
    <t>Reject a known breached password</t>
  </si>
  <si>
    <t>Password: P@ssw0rd</t>
  </si>
  <si>
    <t>1. Complete PRE-R1.
2. Password: enter P@ssw0rd.
3. Click Register.</t>
  </si>
  <si>
    <t>Account not created. Stays on Register page. Server error shown at top of form stating the password has appeared in a data leak and a different one must be chosen.</t>
  </si>
  <si>
    <t>Passes all client rules; only the server catches it.</t>
  </si>
  <si>
    <t>Password mandatory</t>
  </si>
  <si>
    <t>Reject empty password</t>
  </si>
  <si>
    <t>Password: (blank)</t>
  </si>
  <si>
    <t>1. Complete PRE-R1.
2. Leave Password empty.
3. Click Register.</t>
  </si>
  <si>
    <t>Form is not submitted / account not created. Stays on Register page. Error under the field: 'Password is required'.</t>
  </si>
  <si>
    <t>Boundary Value Analysis - Test Analysis (Registration)</t>
  </si>
  <si>
    <t>Lengths are server limits (StoreCustomer.php) unless noted. 'Reused' = boundary value already exercised by an EP case.</t>
  </si>
  <si>
    <t>Rule / range</t>
  </si>
  <si>
    <t>Boundary</t>
  </si>
  <si>
    <t>Values tested</t>
  </si>
  <si>
    <t>Expected</t>
  </si>
  <si>
    <t>Length 1..40</t>
  </si>
  <si>
    <t>Min 0 / 1</t>
  </si>
  <si>
    <t>0 (empty) | 1</t>
  </si>
  <si>
    <t>Reject | Accept</t>
  </si>
  <si>
    <t>TC-EP-03 (reused) | TC-BVA-01</t>
  </si>
  <si>
    <t>Max 40 / 41</t>
  </si>
  <si>
    <t>40 | 41</t>
  </si>
  <si>
    <t>Accept | Reject</t>
  </si>
  <si>
    <t>TC-BVA-02 | TC-BVA-03</t>
  </si>
  <si>
    <t>Length 1..20</t>
  </si>
  <si>
    <t>0 | 1</t>
  </si>
  <si>
    <t>TC-EP-06 (reused) | TC-BVA-04</t>
  </si>
  <si>
    <t>Max 20 / 21</t>
  </si>
  <si>
    <t>20 | 21</t>
  </si>
  <si>
    <t>TC-BVA-05 | TC-BVA-06</t>
  </si>
  <si>
    <t>Length max 70</t>
  </si>
  <si>
    <t>Max 70 / 71</t>
  </si>
  <si>
    <t>70 | 71</t>
  </si>
  <si>
    <t>TC-BVA-07 | TC-BVA-08</t>
  </si>
  <si>
    <t>Length max 40</t>
  </si>
  <si>
    <t>TC-BVA-09 | TC-BVA-10</t>
  </si>
  <si>
    <t>TC-BVA-11 | TC-BVA-12</t>
  </si>
  <si>
    <t>Postcode (Germany)</t>
  </si>
  <si>
    <t>Exactly 5 digits (^\d{5}$)</t>
  </si>
  <si>
    <t>Lower 4 / 5, Upper 5 / 6</t>
  </si>
  <si>
    <t>4 | 5 | 6</t>
  </si>
  <si>
    <t>Reject | Accept | Reject</t>
  </si>
  <si>
    <t>TC-BVA-13 | TC-EP-02 (reused) | TC-BVA-14</t>
  </si>
  <si>
    <t>Postcode (India)</t>
  </si>
  <si>
    <t>No pattern; API max 10</t>
  </si>
  <si>
    <t>Max 10 / 11</t>
  </si>
  <si>
    <t>10 | 11</t>
  </si>
  <si>
    <t>TC-BVA-15 | TC-BVA-16</t>
  </si>
  <si>
    <t>UI: &gt;=1 digit; API max 24</t>
  </si>
  <si>
    <t>TC-EP-21 (reused) | TC-BVA-17</t>
  </si>
  <si>
    <t>API max 24</t>
  </si>
  <si>
    <t>Max 24 / 25</t>
  </si>
  <si>
    <t>24 | 25</t>
  </si>
  <si>
    <t>TC-BVA-18 | TC-BVA-19</t>
  </si>
  <si>
    <t>Local part max 64 (UI regex)</t>
  </si>
  <si>
    <t>Max 64 / 65</t>
  </si>
  <si>
    <t>64 | 65</t>
  </si>
  <si>
    <t>TC-BVA-20 | TC-BVA-21</t>
  </si>
  <si>
    <t>Total max 256 (UI regex + API)</t>
  </si>
  <si>
    <t>Max 256 / 257</t>
  </si>
  <si>
    <t>256 | 257</t>
  </si>
  <si>
    <t>TC-BVA-22 | TC-BVA-23</t>
  </si>
  <si>
    <t>Min 8 characters</t>
  </si>
  <si>
    <t>Min 7 / 8</t>
  </si>
  <si>
    <t>7 | 8</t>
  </si>
  <si>
    <t>TC-BVA-24 | TC-BVA-25</t>
  </si>
  <si>
    <t>Max length</t>
  </si>
  <si>
    <t>Not specified on register</t>
  </si>
  <si>
    <t>-</t>
  </si>
  <si>
    <t>Not designable - see Q6</t>
  </si>
  <si>
    <t>DOB (min age)</t>
  </si>
  <si>
    <t>Must be 18 (API before: today-18y)</t>
  </si>
  <si>
    <t>3-value around 18th birthday</t>
  </si>
  <si>
    <t>18y+1d | exactly 18 | 18y-1d</t>
  </si>
  <si>
    <t>Accept | TBC (Q2) | Reject</t>
  </si>
  <si>
    <t>TC-BVA-26 | TC-BVA-27 | TC-BVA-28</t>
  </si>
  <si>
    <t>DOB (max age)</t>
  </si>
  <si>
    <t>Younger than 75 (API message)</t>
  </si>
  <si>
    <t>3-value around 75th birthday</t>
  </si>
  <si>
    <t>75y-1d | exactly 75 | 75y+1d</t>
  </si>
  <si>
    <t>Accept | Reject | Reject</t>
  </si>
  <si>
    <t>TC-BVA-29 | TC-BVA-30 | TC-BVA-31</t>
  </si>
  <si>
    <t>DOB (calendar)</t>
  </si>
  <si>
    <t>Day of Feb in leap / non-leap year</t>
  </si>
  <si>
    <t>29 Feb</t>
  </si>
  <si>
    <t>2000-02-29 | 2001-02-29</t>
  </si>
  <si>
    <t>TC-BVA-32 | TC-BVA-33</t>
  </si>
  <si>
    <t>Day in 30-day month</t>
  </si>
  <si>
    <t>Day 30 / 31</t>
  </si>
  <si>
    <t>1995-04-30 | 1995-04-31</t>
  </si>
  <si>
    <t>TC-BVA-34 | TC-BVA-35</t>
  </si>
  <si>
    <t>Month 1..12</t>
  </si>
  <si>
    <t>Month 12 / 13</t>
  </si>
  <si>
    <t>1995-12-15 | 1995-13-15</t>
  </si>
  <si>
    <t>TC-BVA-36 | TC-BVA-37</t>
  </si>
  <si>
    <t>Test Cases - Boundary Value Analysis - Registration</t>
  </si>
  <si>
    <t>TC-BVA-01</t>
  </si>
  <si>
    <t>First name length</t>
  </si>
  <si>
    <t>Min boundary 1</t>
  </si>
  <si>
    <t>Accept 1-character first name</t>
  </si>
  <si>
    <t>First name: TD-01</t>
  </si>
  <si>
    <t>1. Complete PRE-R1.
2. First name: enter TD-01.
3. Click Register.</t>
  </si>
  <si>
    <t>Boundary 0 covered by TC-EP-03.</t>
  </si>
  <si>
    <t>TC-BVA-02</t>
  </si>
  <si>
    <t>Max boundary 40</t>
  </si>
  <si>
    <t>Accept 40-character first name</t>
  </si>
  <si>
    <t>First name: TD-02</t>
  </si>
  <si>
    <t>1. Complete PRE-R1.
2. First name: enter TD-02.
3. Click Register.</t>
  </si>
  <si>
    <t>TC-BVA-03</t>
  </si>
  <si>
    <t>Max+1 = 41</t>
  </si>
  <si>
    <t>Reject 41-character first name</t>
  </si>
  <si>
    <t>First name: TD-03</t>
  </si>
  <si>
    <t>1. Complete PRE-R1.
2. First name: enter TD-03.
3. Click Register.</t>
  </si>
  <si>
    <t>Account not created. Stays on Register page. Server error shown at top of form stating first name must not be greater than 40 characters.</t>
  </si>
  <si>
    <t>No UI limit; server only.</t>
  </si>
  <si>
    <t>TC-BVA-04</t>
  </si>
  <si>
    <t>Last name length</t>
  </si>
  <si>
    <t>Accept 1-character last name</t>
  </si>
  <si>
    <t>Last name: TD-04</t>
  </si>
  <si>
    <t>1. Complete PRE-R1.
2. Last name: enter TD-04.
3. Click Register.</t>
  </si>
  <si>
    <t>Boundary 0 covered by TC-EP-06.</t>
  </si>
  <si>
    <t>TC-BVA-05</t>
  </si>
  <si>
    <t>Max boundary 20</t>
  </si>
  <si>
    <t>Accept 20-character last name</t>
  </si>
  <si>
    <t>Last name: TD-05</t>
  </si>
  <si>
    <t>1. Complete PRE-R1.
2. Last name: enter TD-05.
3. Click Register.</t>
  </si>
  <si>
    <t>TC-BVA-06</t>
  </si>
  <si>
    <t>Max+1 = 21</t>
  </si>
  <si>
    <t>Reject 21-character last name</t>
  </si>
  <si>
    <t>Last name: TD-06</t>
  </si>
  <si>
    <t>1. Complete PRE-R1.
2. Last name: enter TD-06.
3. Click Register.</t>
  </si>
  <si>
    <t>Account not created. Stays on Register page. Server error shown at top of form stating last name must not be greater than 20 characters.</t>
  </si>
  <si>
    <t>TC-BVA-07</t>
  </si>
  <si>
    <t>Street length</t>
  </si>
  <si>
    <t>Max boundary 70</t>
  </si>
  <si>
    <t>Accept 70-character street</t>
  </si>
  <si>
    <t>Street: TD-07</t>
  </si>
  <si>
    <t>1. Complete PRE-R1.
2. Street: enter TD-07.
3. Click Register.</t>
  </si>
  <si>
    <t>TC-BVA-08</t>
  </si>
  <si>
    <t>Max+1 = 71</t>
  </si>
  <si>
    <t>Reject 71-character street</t>
  </si>
  <si>
    <t>Street: TD-08</t>
  </si>
  <si>
    <t>1. Complete PRE-R1.
2. Street: enter TD-08.
3. Click Register.</t>
  </si>
  <si>
    <t>Account not created. Stays on Register page. Server error shown at top of form stating street must not be greater than 70 characters.</t>
  </si>
  <si>
    <t>TC-BVA-09</t>
  </si>
  <si>
    <t>City length</t>
  </si>
  <si>
    <t>Accept 40-character city</t>
  </si>
  <si>
    <t>City: TD-09</t>
  </si>
  <si>
    <t>1. Complete PRE-R1.
2. City: enter TD-09.
3. Click Register.</t>
  </si>
  <si>
    <t>TC-BVA-10</t>
  </si>
  <si>
    <t>Reject 41-character city</t>
  </si>
  <si>
    <t>City: TD-10</t>
  </si>
  <si>
    <t>1. Complete PRE-R1.
2. City: enter TD-10.
3. Click Register.</t>
  </si>
  <si>
    <t>Account not created. Stays on Register page. Server error shown at top of form stating city must not be greater than 40 characters.</t>
  </si>
  <si>
    <t>TC-BVA-11</t>
  </si>
  <si>
    <t>State length</t>
  </si>
  <si>
    <t>Accept 40-character state</t>
  </si>
  <si>
    <t>State: TD-11</t>
  </si>
  <si>
    <t>1. Complete PRE-R1.
2. State: enter TD-11.
3. Click Register.</t>
  </si>
  <si>
    <t>TC-BVA-12</t>
  </si>
  <si>
    <t>Reject 41-character state</t>
  </si>
  <si>
    <t>State: TD-12</t>
  </si>
  <si>
    <t>1. Complete PRE-R1.
2. State: enter TD-12.
3. Click Register.</t>
  </si>
  <si>
    <t>Account not created. Stays on Register page. Server error shown at top of form stating state must not be greater than 40 characters.</t>
  </si>
  <si>
    <t>TC-BVA-13</t>
  </si>
  <si>
    <t>Postcode length (Germany)</t>
  </si>
  <si>
    <t>Lower: 4 digits</t>
  </si>
  <si>
    <t>Reject 4-digit German postcode</t>
  </si>
  <si>
    <t>Country: Germany; Postcode: 1011</t>
  </si>
  <si>
    <t>1. Complete PRE-R1.
2. Country / Postcode: enter Germany / 1011.
3. Click Register.</t>
  </si>
  <si>
    <t>Boundary 5 covered by TC-EP-02.</t>
  </si>
  <si>
    <t>TC-BVA-14</t>
  </si>
  <si>
    <t>Upper: 6 digits</t>
  </si>
  <si>
    <t>Reject 6-digit German postcode</t>
  </si>
  <si>
    <t>Country: Germany; Postcode: 101150</t>
  </si>
  <si>
    <t>1. Complete PRE-R1.
2. Country / Postcode: enter Germany / 101150.
3. Click Register.</t>
  </si>
  <si>
    <t>TC-BVA-15</t>
  </si>
  <si>
    <t>Postcode length (no pattern)</t>
  </si>
  <si>
    <t>Max boundary 10</t>
  </si>
  <si>
    <t>Accept 10-character Indian postcode</t>
  </si>
  <si>
    <t>Country: India; Postcode: TD-13</t>
  </si>
  <si>
    <t>1. Complete PRE-R1.
2. Postcode: enter TD-13.
3. Click Register.</t>
  </si>
  <si>
    <t>TC-BVA-16</t>
  </si>
  <si>
    <t>Max+1 = 11</t>
  </si>
  <si>
    <t>Reject 11-character Indian postcode</t>
  </si>
  <si>
    <t>Country: India; Postcode: TD-14</t>
  </si>
  <si>
    <t>1. Complete PRE-R1.
2. Postcode: enter TD-14.
3. Click Register.</t>
  </si>
  <si>
    <t>Account not created. Stays on Register page. Server error shown at top of form stating postal code must not be greater than 10 characters.</t>
  </si>
  <si>
    <t>TC-BVA-17</t>
  </si>
  <si>
    <t>Phone length</t>
  </si>
  <si>
    <t>Accept 1-digit phone</t>
  </si>
  <si>
    <t>Phone: 9</t>
  </si>
  <si>
    <t>1. Complete PRE-R1.
2. Phone: enter 9.
3. Click Register.</t>
  </si>
  <si>
    <t>Accepting 1 digit is questionable - see Q8.</t>
  </si>
  <si>
    <t>TC-BVA-18</t>
  </si>
  <si>
    <t>Max boundary 24</t>
  </si>
  <si>
    <t>Accept 24-digit phone</t>
  </si>
  <si>
    <t>Phone: TD-15</t>
  </si>
  <si>
    <t>1. Complete PRE-R1.
2. Phone: enter TD-15.
3. Click Register.</t>
  </si>
  <si>
    <t>TC-BVA-19</t>
  </si>
  <si>
    <t>Max+1 = 25</t>
  </si>
  <si>
    <t>Reject 25-digit phone</t>
  </si>
  <si>
    <t>Phone: TD-16</t>
  </si>
  <si>
    <t>1. Complete PRE-R1.
2. Phone: enter TD-16.
3. Click Register.</t>
  </si>
  <si>
    <t>Account not created. Stays on Register page. Server error shown at top of form stating phone must not be greater than 24 characters.</t>
  </si>
  <si>
    <t>TC-BVA-20</t>
  </si>
  <si>
    <t>Email local-part length</t>
  </si>
  <si>
    <t>Max boundary 64</t>
  </si>
  <si>
    <t>Accept email with 64-char local part</t>
  </si>
  <si>
    <t>Email: TD-17</t>
  </si>
  <si>
    <t>1. Complete PRE-R1.
2. Email: enter TD-17.
3. Click Register.</t>
  </si>
  <si>
    <t>Change 'r01' in TD-17..20 each run to keep emails unique.</t>
  </si>
  <si>
    <t>TC-BVA-21</t>
  </si>
  <si>
    <t>Max+1 = 65</t>
  </si>
  <si>
    <t>Reject email with 65-char local part</t>
  </si>
  <si>
    <t>Email: TD-18</t>
  </si>
  <si>
    <t>1. Complete PRE-R1.
2. Email: enter TD-18.
3. Click Register.</t>
  </si>
  <si>
    <t>TC-BVA-22</t>
  </si>
  <si>
    <t>Email total length</t>
  </si>
  <si>
    <t>Max boundary 256</t>
  </si>
  <si>
    <t>Accept 256-character email</t>
  </si>
  <si>
    <t>Email: TD-19</t>
  </si>
  <si>
    <t>1. Complete PRE-R1.
2. Email: enter TD-19.
3. Click Register.</t>
  </si>
  <si>
    <t>TC-BVA-23</t>
  </si>
  <si>
    <t>Max+1 = 257</t>
  </si>
  <si>
    <t>Reject 257-character email</t>
  </si>
  <si>
    <t>Email: TD-20</t>
  </si>
  <si>
    <t>1. Complete PRE-R1.
2. Email: enter TD-20.
3. Click Register.</t>
  </si>
  <si>
    <t>TC-BVA-24</t>
  </si>
  <si>
    <t>Password length</t>
  </si>
  <si>
    <t>Min-1 = 7</t>
  </si>
  <si>
    <t>Reject 7-character password</t>
  </si>
  <si>
    <t>Password: Tq7#mLp</t>
  </si>
  <si>
    <t>1. Complete PRE-R1.
2. Password: enter Tq7#mLp.
3. Click Register.</t>
  </si>
  <si>
    <t>Form not submitted. Checklist item 'Be at least 8 characters long' is not marked green; minimum-length error shown.</t>
  </si>
  <si>
    <t>Message says 6 characters - see Q4.</t>
  </si>
  <si>
    <t>TC-BVA-25</t>
  </si>
  <si>
    <t>Min boundary 8</t>
  </si>
  <si>
    <t>Accept 8-character password</t>
  </si>
  <si>
    <t>Password: Tq7#mLpz</t>
  </si>
  <si>
    <t>1. Complete PRE-R1.
2. Password: enter Tq7#mLpz.
3. Click Register.</t>
  </si>
  <si>
    <t>TC-BVA-26</t>
  </si>
  <si>
    <t>Minimum age 18</t>
  </si>
  <si>
    <t>18y + 1 day</t>
  </si>
  <si>
    <t>Accept customer one day over 18</t>
  </si>
  <si>
    <t>DOB: TD-21</t>
  </si>
  <si>
    <t>1. Complete PRE-R1.
2. DOB: enter TD-21.
3. Click Register.</t>
  </si>
  <si>
    <t>3-value BVA.</t>
  </si>
  <si>
    <t>TC-BVA-27</t>
  </si>
  <si>
    <t>Exactly 18 today</t>
  </si>
  <si>
    <t>Customer turning 18 today</t>
  </si>
  <si>
    <t>DOB: TD-22</t>
  </si>
  <si>
    <t>1. Complete PRE-R1.
2. DOB: enter TD-22.
3. Click Register.</t>
  </si>
  <si>
    <t>TBC - awaiting answer to Q2. (Code rejects with 'Customer must be 18 years old.'; a literal reading of 'must be 18' would accept.)</t>
  </si>
  <si>
    <t>Do not mark Pass/Fail until Q2 is answered.</t>
  </si>
  <si>
    <t>TC-BVA-28</t>
  </si>
  <si>
    <t>18y - 1 day</t>
  </si>
  <si>
    <t>Reject customer one day short of 18</t>
  </si>
  <si>
    <t>DOB: TD-23</t>
  </si>
  <si>
    <t>1. Complete PRE-R1.
2. DOB: enter TD-23.
3. Click Register.</t>
  </si>
  <si>
    <t>TC-BVA-29</t>
  </si>
  <si>
    <t>Maximum age 75</t>
  </si>
  <si>
    <t>75y - 1 day</t>
  </si>
  <si>
    <t>Accept customer aged 74 years 364 days</t>
  </si>
  <si>
    <t>DOB: TD-24</t>
  </si>
  <si>
    <t>1. Complete PRE-R1.
2. DOB: enter TD-24.
3. Click Register.</t>
  </si>
  <si>
    <t>TC-BVA-30</t>
  </si>
  <si>
    <t>Exactly 75 today</t>
  </si>
  <si>
    <t>Reject customer turning 75 today</t>
  </si>
  <si>
    <t>DOB: TD-25</t>
  </si>
  <si>
    <t>1. Complete PRE-R1.
2. DOB: enter TD-25.
3. Click Register.</t>
  </si>
  <si>
    <t>TC-BVA-31</t>
  </si>
  <si>
    <t>75y + 1 day</t>
  </si>
  <si>
    <t>Reject customer one day over 75</t>
  </si>
  <si>
    <t>DOB: TD-26</t>
  </si>
  <si>
    <t>1. Complete PRE-R1.
2. DOB: enter TD-26.
3. Click Register.</t>
  </si>
  <si>
    <t>TC-BVA-32</t>
  </si>
  <si>
    <t>DOB calendar validity</t>
  </si>
  <si>
    <t>29 Feb, leap year</t>
  </si>
  <si>
    <t>Accept 29 Feb in a leap year</t>
  </si>
  <si>
    <t>DOB: 2000-02-29</t>
  </si>
  <si>
    <t>1. Complete PRE-R1.
2. DOB: enter 2000-02-29.
3. Click Register.</t>
  </si>
  <si>
    <t>TC-BVA-33</t>
  </si>
  <si>
    <t>29 Feb, non-leap year</t>
  </si>
  <si>
    <t>Reject 29 Feb in a non-leap year</t>
  </si>
  <si>
    <t>DOB: 2001-02-29</t>
  </si>
  <si>
    <t>1. Complete PRE-R1.
2. DOB: enter 2001-02-29.
3. Click Register.</t>
  </si>
  <si>
    <t>TC-BVA-34</t>
  </si>
  <si>
    <t>Day 30 of April</t>
  </si>
  <si>
    <t>Accept last day of a 30-day month</t>
  </si>
  <si>
    <t>DOB: 1995-04-30</t>
  </si>
  <si>
    <t>1. Complete PRE-R1.
2. DOB: enter 1995-04-30.
3. Click Register.</t>
  </si>
  <si>
    <t>TC-BVA-35</t>
  </si>
  <si>
    <t>Day 31 of April</t>
  </si>
  <si>
    <t>Reject day 31 in a 30-day month</t>
  </si>
  <si>
    <t>DOB: 1995-04-31</t>
  </si>
  <si>
    <t>1. Complete PRE-R1.
2. DOB: enter 1995-04-31.
3. Click Register.</t>
  </si>
  <si>
    <t>TC-BVA-36</t>
  </si>
  <si>
    <t>Month 12</t>
  </si>
  <si>
    <t>Accept month 12</t>
  </si>
  <si>
    <t>DOB: 1995-12-15</t>
  </si>
  <si>
    <t>1. Complete PRE-R1.
2. DOB: enter 1995-12-15.
3. Click Register.</t>
  </si>
  <si>
    <t>TC-BVA-37</t>
  </si>
  <si>
    <t>Month 13</t>
  </si>
  <si>
    <t>Reject month 13</t>
  </si>
  <si>
    <t>DOB: 1995-13-15</t>
  </si>
  <si>
    <t>1. Complete PRE-R1.
2. DOB: enter 1995-13-15.
3. Click Register.</t>
  </si>
  <si>
    <t>State Transition Model - Login (failed-attempt counter, lockout, TOTP, disabled account)</t>
  </si>
  <si>
    <t>Source: UserService::login(), MAX_LOGIN_ATTEMPTS = 3. Admin accounts are exempt from the counter (guard).</t>
  </si>
  <si>
    <t>Description</t>
  </si>
  <si>
    <t>Note</t>
  </si>
  <si>
    <t>S0</t>
  </si>
  <si>
    <t>Logged out, failed attempts = 0</t>
  </si>
  <si>
    <t>Initial state</t>
  </si>
  <si>
    <t>S1</t>
  </si>
  <si>
    <t>Logged out, failed attempts = 1</t>
  </si>
  <si>
    <t>S2</t>
  </si>
  <si>
    <t>Logged out, failed attempts = 2</t>
  </si>
  <si>
    <t>S3</t>
  </si>
  <si>
    <t>Locked, failed attempts = 3</t>
  </si>
  <si>
    <t>Only admin can unlock</t>
  </si>
  <si>
    <t>S4</t>
  </si>
  <si>
    <t>Logged in (customer) - My Account</t>
  </si>
  <si>
    <t>S5</t>
  </si>
  <si>
    <t>TOTP challenge pending</t>
  </si>
  <si>
    <t>Only for users with TOTP enabled</t>
  </si>
  <si>
    <t>S6</t>
  </si>
  <si>
    <t>Disabled account</t>
  </si>
  <si>
    <t>Set by admin ('Enabled' unticked)</t>
  </si>
  <si>
    <t>Event</t>
  </si>
  <si>
    <t>E1</t>
  </si>
  <si>
    <t>Submit registered email + correct password</t>
  </si>
  <si>
    <t>E2</t>
  </si>
  <si>
    <t>Submit registered email + wrong password</t>
  </si>
  <si>
    <t>E3</t>
  </si>
  <si>
    <t>Submit unregistered email (any password)</t>
  </si>
  <si>
    <t>E4</t>
  </si>
  <si>
    <t>Submit with client-side error (empty field, bad email format, password &lt; 3 chars)</t>
  </si>
  <si>
    <t>E5</t>
  </si>
  <si>
    <t>Logout</t>
  </si>
  <si>
    <t>E6</t>
  </si>
  <si>
    <t>Admin sets 'Failed login attempts' = 0</t>
  </si>
  <si>
    <t>E7</t>
  </si>
  <si>
    <t>Enter valid TOTP code</t>
  </si>
  <si>
    <t>E8</t>
  </si>
  <si>
    <t>Enter invalid TOTP code</t>
  </si>
  <si>
    <t>State table (rows = current state, columns = event; cell = next state / visible output; '-' = event not possible in that state)</t>
  </si>
  <si>
    <t>E7 / E8</t>
  </si>
  <si>
    <t>S4 (S5 if TOTP on)</t>
  </si>
  <si>
    <t>S1 / 'Invalid email or password'</t>
  </si>
  <si>
    <t>S0 / same message</t>
  </si>
  <si>
    <t>S0 / field error, no request</t>
  </si>
  <si>
    <t>S4 / counter reset to 0</t>
  </si>
  <si>
    <t>S2 / 'Invalid email or password'</t>
  </si>
  <si>
    <t>S1 / field error</t>
  </si>
  <si>
    <t>S3 / 'Invalid email or password'</t>
  </si>
  <si>
    <t>S2 / field error</t>
  </si>
  <si>
    <t>S3 / 'Account locked...' (rejected)</t>
  </si>
  <si>
    <t>S3 / 'Account locked...'</t>
  </si>
  <si>
    <t>S3 / field error</t>
  </si>
  <si>
    <t>E7: S4 | E8: S5 / 'Invalid TOTP'</t>
  </si>
  <si>
    <t>S6 / 'Account disabled'</t>
  </si>
  <si>
    <t>S6 / 'Invalid email or password'</t>
  </si>
  <si>
    <t>S6 / field error</t>
  </si>
  <si>
    <t>Transition list (coverage items)</t>
  </si>
  <si>
    <t>Trans. ID</t>
  </si>
  <si>
    <t>From</t>
  </si>
  <si>
    <t>Guard</t>
  </si>
  <si>
    <t>To</t>
  </si>
  <si>
    <t>Output</t>
  </si>
  <si>
    <t>Type</t>
  </si>
  <si>
    <t>T01</t>
  </si>
  <si>
    <t>TOTP off</t>
  </si>
  <si>
    <t>Redirect to /account</t>
  </si>
  <si>
    <t>Valid</t>
  </si>
  <si>
    <t>TC-STT-01</t>
  </si>
  <si>
    <t>T02</t>
  </si>
  <si>
    <t>TOTP on</t>
  </si>
  <si>
    <t>TOTP field shown</t>
  </si>
  <si>
    <t>TC-STT-14</t>
  </si>
  <si>
    <t>T03</t>
  </si>
  <si>
    <t>'Invalid email or password'</t>
  </si>
  <si>
    <t>TC-STT-03</t>
  </si>
  <si>
    <t>T04</t>
  </si>
  <si>
    <t>TC-STT-12</t>
  </si>
  <si>
    <t>T05</t>
  </si>
  <si>
    <t>Field error, counter unchanged</t>
  </si>
  <si>
    <t>TC-STT-13</t>
  </si>
  <si>
    <t>T06</t>
  </si>
  <si>
    <t>Counter reset</t>
  </si>
  <si>
    <t>TC-STT-04, TC-STT-11</t>
  </si>
  <si>
    <t>T07</t>
  </si>
  <si>
    <t>TC-STT-05</t>
  </si>
  <si>
    <t>T08</t>
  </si>
  <si>
    <t>TC-STT-06, TC-STT-11</t>
  </si>
  <si>
    <t>T09</t>
  </si>
  <si>
    <t>Not admin</t>
  </si>
  <si>
    <t>TC-STT-07</t>
  </si>
  <si>
    <t>T10</t>
  </si>
  <si>
    <t>'Account locked...'</t>
  </si>
  <si>
    <t>Invalid (event rejected)</t>
  </si>
  <si>
    <t>TC-STT-08</t>
  </si>
  <si>
    <t>T11</t>
  </si>
  <si>
    <t>TC-STT-09</t>
  </si>
  <si>
    <t>T12</t>
  </si>
  <si>
    <t>Login possible again</t>
  </si>
  <si>
    <t>TC-STT-10</t>
  </si>
  <si>
    <t>T13</t>
  </si>
  <si>
    <t>Logged out</t>
  </si>
  <si>
    <t>TC-STT-02</t>
  </si>
  <si>
    <t>T14</t>
  </si>
  <si>
    <t>'Invalid TOTP'</t>
  </si>
  <si>
    <t>TC-STT-15</t>
  </si>
  <si>
    <t>T15</t>
  </si>
  <si>
    <t>TC-STT-16</t>
  </si>
  <si>
    <t>T16</t>
  </si>
  <si>
    <t>'Account disabled'</t>
  </si>
  <si>
    <t>TC-STT-17</t>
  </si>
  <si>
    <t>T17</t>
  </si>
  <si>
    <t>Admin</t>
  </si>
  <si>
    <t>No lock for admin</t>
  </si>
  <si>
    <t>Valid (guard)</t>
  </si>
  <si>
    <t>TC-STT-18</t>
  </si>
  <si>
    <t>T18</t>
  </si>
  <si>
    <t>E1 -&gt; E7</t>
  </si>
  <si>
    <t>Counter should reset</t>
  </si>
  <si>
    <t>Valid (1-switch)</t>
  </si>
  <si>
    <t>TC-STT-19</t>
  </si>
  <si>
    <t>Coverage achieved</t>
  </si>
  <si>
    <t>All states: 7 of 7 (S0-S6). Valid transitions: all listed valid transitions covered. Invalid transitions: events in S3 and S6 covered. 1-switch: TC-STT-11, TC-STT-19.</t>
  </si>
  <si>
    <t>Test Cases - State Transition Testing - Login</t>
  </si>
  <si>
    <t>Successful login</t>
  </si>
  <si>
    <t>T01 (S0-E1-S4)</t>
  </si>
  <si>
    <t>Log in with valid credentials</t>
  </si>
  <si>
    <t>PRE-L1 (state S0)</t>
  </si>
  <si>
    <t>Own email + password</t>
  </si>
  <si>
    <t>1. Enter email and correct password.
2. Click Login.</t>
  </si>
  <si>
    <t>Redirected to /account (My Account); user name shown in navigation.</t>
  </si>
  <si>
    <t>T13 (S4-E5-S0)</t>
  </si>
  <si>
    <t>Log out from My Account</t>
  </si>
  <si>
    <t>Logged in (state S4)</t>
  </si>
  <si>
    <t>1. Open the user menu and click Sign out.
2. Enter /account in the address bar.</t>
  </si>
  <si>
    <t>Step 1: user is logged out, Sign in link shown. Step 2: My Account is not shown; user is sent to login.</t>
  </si>
  <si>
    <t>First failed attempt</t>
  </si>
  <si>
    <t>T03 (S0-E2-S1)</t>
  </si>
  <si>
    <t>One wrong password from S0</t>
  </si>
  <si>
    <t>Password: Wrong#123x</t>
  </si>
  <si>
    <t>1. Enter email and wrong password.
2. Click Login.</t>
  </si>
  <si>
    <t>Error 'Invalid email or password'; stays on login page; not logged in.</t>
  </si>
  <si>
    <t>TC-STT-04</t>
  </si>
  <si>
    <t>Login after 1 failure</t>
  </si>
  <si>
    <t>T06 (S1-E1-S4)</t>
  </si>
  <si>
    <t>Correct password after one failure</t>
  </si>
  <si>
    <t>PRE-L1 + 1 failed login (state S1)</t>
  </si>
  <si>
    <t>Correct password</t>
  </si>
  <si>
    <t>Redirected to /account; counter reset to 0 (verified in TC-STT-11).</t>
  </si>
  <si>
    <t>Second failed attempt</t>
  </si>
  <si>
    <t>T07 (S1-E2-S2)</t>
  </si>
  <si>
    <t>Second consecutive wrong password</t>
  </si>
  <si>
    <t>Error 'Invalid email or password'; not logged in; account not locked.</t>
  </si>
  <si>
    <t>TC-STT-06</t>
  </si>
  <si>
    <t>Login after 2 failures</t>
  </si>
  <si>
    <t>T08 (S2-E1-S4)</t>
  </si>
  <si>
    <t>Correct password after two failures</t>
  </si>
  <si>
    <t>PRE-L1 + 2 failed logins (state S2)</t>
  </si>
  <si>
    <t>Redirected to /account.</t>
  </si>
  <si>
    <t>Lock on 3rd failure</t>
  </si>
  <si>
    <t>T09 (S2-E2-S3)</t>
  </si>
  <si>
    <t>Third consecutive wrong password locks account</t>
  </si>
  <si>
    <t>Error 'Invalid email or password'; not logged in. Account is now locked (confirm by running TC-STT-08 immediately).</t>
  </si>
  <si>
    <t>No lock message on the 3rd attempt - see Q9.</t>
  </si>
  <si>
    <t>Locked rejects correct password</t>
  </si>
  <si>
    <t>T10 (S3-E1-S3) invalid</t>
  </si>
  <si>
    <t>Correct password on a locked account</t>
  </si>
  <si>
    <t>Account locked (state S3, after TC-STT-07)</t>
  </si>
  <si>
    <t>Error 'Account locked, too many failed attempts. Please contact the administrator.' Not logged in.</t>
  </si>
  <si>
    <t>Key security case.</t>
  </si>
  <si>
    <t>Locked rejects wrong password</t>
  </si>
  <si>
    <t>T11 (S3-E2-S3) invalid</t>
  </si>
  <si>
    <t>Wrong password on a locked account</t>
  </si>
  <si>
    <t>Account locked (state S3)</t>
  </si>
  <si>
    <t>Admin unlock</t>
  </si>
  <si>
    <t>T12 (S3-E6-S0), then T01</t>
  </si>
  <si>
    <t>Login works after admin unlock</t>
  </si>
  <si>
    <t>1. Complete PRE-ADMIN: set Failed login attempts = 0.
2. As the customer, enter email and correct password.
3. Click Login.</t>
  </si>
  <si>
    <t>Step 3: redirected to /account.</t>
  </si>
  <si>
    <t>TC-STT-11</t>
  </si>
  <si>
    <t>Counter resets after success</t>
  </si>
  <si>
    <t>T07, T08, T13, T03, T07, T08 (1-switch)</t>
  </si>
  <si>
    <t>Successful login resets the failed-attempt counter</t>
  </si>
  <si>
    <t>Wrong: Wrong#123x; then correct</t>
  </si>
  <si>
    <t>1. Wrong password twice (S2).
2. Correct password (S4).
3. Log out (S0).
4. Wrong password twice (S2).
5. Correct password.</t>
  </si>
  <si>
    <t>Step 5: redirected to /account (not locked). If the counter did not reset, step 4 would already lock the account.</t>
  </si>
  <si>
    <t>Unknown email</t>
  </si>
  <si>
    <t>T04 (S0-E3-S0)</t>
  </si>
  <si>
    <t>Login with an unregistered email</t>
  </si>
  <si>
    <t>Logged out on /auth/login</t>
  </si>
  <si>
    <t>Email: not.registered.&lt;run&gt;@example.com; any password</t>
  </si>
  <si>
    <t>1. Enter unregistered email and any password.
2. Click Login.</t>
  </si>
  <si>
    <t>Error 'Invalid email or password' - identical to a wrong password, so the response does not reveal whether the email exists.</t>
  </si>
  <si>
    <t>Client-side errors do not count</t>
  </si>
  <si>
    <t>T05 (S1-E4-S1), then T07, T08</t>
  </si>
  <si>
    <t>Validation errors are not counted as failed attempts</t>
  </si>
  <si>
    <t>Email: abc (bad format); then wrong; then correct</t>
  </si>
  <si>
    <t>1. Enter email 'abc' and any password; click Login.
2. Enter valid email + wrong password; click Login.
3. Enter correct password; click Login.</t>
  </si>
  <si>
    <t>Step 1: 'Email format is invalid', no request sent. Step 2: 'Invalid email or password'. Step 3: redirected to /account (not locked, so step 1 was not counted).</t>
  </si>
  <si>
    <t>TOTP challenge</t>
  </si>
  <si>
    <t>T02 (S0-E1-S5)</t>
  </si>
  <si>
    <t>TOTP user is asked for a code</t>
  </si>
  <si>
    <t>PRE-L1 with TOTP enabled in My Account &gt; Profile (state S0)</t>
  </si>
  <si>
    <t>TOTP code field and Verify button shown; user not yet logged in.</t>
  </si>
  <si>
    <t>Invalid TOTP</t>
  </si>
  <si>
    <t>T14 (S5-E8-S5)</t>
  </si>
  <si>
    <t>Wrong TOTP code keeps the challenge open</t>
  </si>
  <si>
    <t>TOTP challenge shown (state S5)</t>
  </si>
  <si>
    <t>TOTP: 000000</t>
  </si>
  <si>
    <t>1. Enter 000000.
2. Click Verify.</t>
  </si>
  <si>
    <t>Error 'Invalid TOTP'; still on TOTP step; not logged in.</t>
  </si>
  <si>
    <t>Effect on lock counter unspecified - see Q10.</t>
  </si>
  <si>
    <t>Valid TOTP</t>
  </si>
  <si>
    <t>T15 (S5-E7-S4)</t>
  </si>
  <si>
    <t>Correct TOTP code completes login</t>
  </si>
  <si>
    <t>Current code from authenticator app</t>
  </si>
  <si>
    <t>1. Enter current code.
2. Click Verify.</t>
  </si>
  <si>
    <t>T16 (S6-E1-S6) invalid</t>
  </si>
  <si>
    <t>Correct password on a disabled account</t>
  </si>
  <si>
    <t>PRE-L1; admin unticks 'Enabled' via PRE-ADMIN (state S6)</t>
  </si>
  <si>
    <t>Error 'Account disabled'; not logged in.</t>
  </si>
  <si>
    <t>Admin exempt from lockout</t>
  </si>
  <si>
    <t>T17 guard [admin]</t>
  </si>
  <si>
    <t>Admin is not locked after repeated failures</t>
  </si>
  <si>
    <t>LOCAL instance only. Admin logged out.</t>
  </si>
  <si>
    <t>admin@practicesoftwaretesting.com; Wrong#123x x4; then welcome01</t>
  </si>
  <si>
    <t>1. Wrong password 4 times.
2. Correct password.</t>
  </si>
  <si>
    <t>Step 1: 'Invalid email or password' every time, never the lock message. Step 2: redirected to admin dashboard.</t>
  </si>
  <si>
    <t>LOCAL only - do not hammer the shared demo admin.</t>
  </si>
  <si>
    <t>Counter reset for TOTP users</t>
  </si>
  <si>
    <t>T18 (S2-E1-S5-E7-S4), then T03</t>
  </si>
  <si>
    <t>Successful TOTP login resets the counter</t>
  </si>
  <si>
    <t>PRE-L1 with TOTP enabled + 2 failed logins (state S2)</t>
  </si>
  <si>
    <t>Correct password + valid TOTP; then Wrong#123x; then correct</t>
  </si>
  <si>
    <t>1. Correct password, then valid TOTP (S4).
2. Log out.
3. Wrong password once.
4. Correct password.</t>
  </si>
  <si>
    <t>Step 4: TOTP challenge shown (account not locked).</t>
  </si>
  <si>
    <t>Code review predicts FAIL ('Account locked') - see Q10.</t>
  </si>
  <si>
    <t>Test Data - generated values (formulas recalculate on open; copy the 'Value' cell when executing)</t>
  </si>
  <si>
    <t>TD ID</t>
  </si>
  <si>
    <t>Value</t>
  </si>
  <si>
    <t>Actual length</t>
  </si>
  <si>
    <t>Expected length</t>
  </si>
  <si>
    <t>Length check</t>
  </si>
  <si>
    <t>TD-01</t>
  </si>
  <si>
    <t>1 character</t>
  </si>
  <si>
    <t>A</t>
  </si>
  <si>
    <t>TD-02</t>
  </si>
  <si>
    <t>40 characters (max)</t>
  </si>
  <si>
    <t>TD-03</t>
  </si>
  <si>
    <t>41 characters (max+1)</t>
  </si>
  <si>
    <t>TD-04</t>
  </si>
  <si>
    <t>P</t>
  </si>
  <si>
    <t>TD-05</t>
  </si>
  <si>
    <t>20 characters (max)</t>
  </si>
  <si>
    <t>TD-06</t>
  </si>
  <si>
    <t>21 characters (max+1)</t>
  </si>
  <si>
    <t>TD-07</t>
  </si>
  <si>
    <t>70 characters (max)</t>
  </si>
  <si>
    <t>TD-08</t>
  </si>
  <si>
    <t>71 characters (max+1)</t>
  </si>
  <si>
    <t>TD-09</t>
  </si>
  <si>
    <t>TD-10</t>
  </si>
  <si>
    <t>TD-11</t>
  </si>
  <si>
    <t>TD-12</t>
  </si>
  <si>
    <t>TD-13</t>
  </si>
  <si>
    <t>10 characters (API max)</t>
  </si>
  <si>
    <t>4110181234</t>
  </si>
  <si>
    <t>TD-14</t>
  </si>
  <si>
    <t>11 characters (max+1)</t>
  </si>
  <si>
    <t>41101812345</t>
  </si>
  <si>
    <t>TD-15</t>
  </si>
  <si>
    <t>24 digits (API max)</t>
  </si>
  <si>
    <t>TD-16</t>
  </si>
  <si>
    <t>25 digits (max+1)</t>
  </si>
  <si>
    <t>TD-17</t>
  </si>
  <si>
    <t>local part 64 chars (max); total 76</t>
  </si>
  <si>
    <t>TD-18</t>
  </si>
  <si>
    <t>local part 65 chars (max+1)</t>
  </si>
  <si>
    <t>TD-19</t>
  </si>
  <si>
    <t>total length 256 (max)</t>
  </si>
  <si>
    <t>TD-20</t>
  </si>
  <si>
    <t>total length 257 (max+1)</t>
  </si>
  <si>
    <t>TD-21</t>
  </si>
  <si>
    <t>DOB</t>
  </si>
  <si>
    <t>Age 18 years + 1 day (today - 18y - 1d)</t>
  </si>
  <si>
    <t>TD-22</t>
  </si>
  <si>
    <t>Exactly 18 today (today - 18y)</t>
  </si>
  <si>
    <t>TD-23</t>
  </si>
  <si>
    <t>1 day short of 18 (today - 18y + 1d)</t>
  </si>
  <si>
    <t>TD-24</t>
  </si>
  <si>
    <t>74 years 364 days (today - 75y + 1d)</t>
  </si>
  <si>
    <t>TD-25</t>
  </si>
  <si>
    <t>Exactly 75 today (today - 75y)</t>
  </si>
  <si>
    <t>TD-26</t>
  </si>
  <si>
    <t>75 years + 1 day (today - 75y - 1d)</t>
  </si>
  <si>
    <t>TD-27</t>
  </si>
  <si>
    <t>EP: age 10 (under-18 partition)</t>
  </si>
  <si>
    <t>TD-28</t>
  </si>
  <si>
    <t>EP: age 80 (75+ partition)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</si>
</sst>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95959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F3864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EB9C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5" fillId="0" borderId="1" xfId="0" applyFont="1" applyBorder="1"/>
    <xf numFmtId="164" fontId="5" fillId="0" borderId="1" xfId="0" applyNumberFormat="1" applyFont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3" borderId="1" xfId="0" applyFont="1" applyFill="1" applyBorder="1"/>
    <xf numFmtId="0" fontId="7" fillId="0" borderId="0" xfId="0" applyFont="1"/>
    <xf numFmtId="0" fontId="8" fillId="0" borderId="1" xfId="0" applyFont="1" applyBorder="1" applyAlignment="1">
      <alignment vertical="top" wrapText="1"/>
    </xf>
    <xf numFmtId="0" fontId="5" fillId="0" borderId="0" xfId="0" applyFont="1"/>
    <xf numFmtId="0" fontId="5" fillId="0" borderId="1" xfId="0" applyFont="1" applyBorder="1" applyAlignment="1">
      <alignment vertical="top"/>
    </xf>
  </cellXfs>
  <cellStyles count="1">
    <cellStyle name="Normal" xfId="0" builtinId="0"/>
  </cellStyles>
  <dxfs count="9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vy\Documents\Documents%20for%20Incubyte\COE\AI-generated-test-cases.xlsx" TargetMode="External"/><Relationship Id="rId1" Type="http://schemas.openxmlformats.org/officeDocument/2006/relationships/externalLinkPath" Target="AI-generated-test-c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EP Analysis"/>
      <sheetName val="TC - EP"/>
      <sheetName val="BVA Analysis"/>
      <sheetName val="TC - BVA"/>
      <sheetName val="STT Model"/>
      <sheetName val="TC - STT"/>
      <sheetName val="Test Data"/>
      <sheetName val="Open Ques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Q1</v>
          </cell>
        </row>
        <row r="5">
          <cell r="A5" t="str">
            <v>Q2</v>
          </cell>
        </row>
        <row r="6">
          <cell r="A6" t="str">
            <v>Q3</v>
          </cell>
        </row>
        <row r="7">
          <cell r="A7" t="str">
            <v>Q4</v>
          </cell>
        </row>
        <row r="8">
          <cell r="A8" t="str">
            <v>Q5</v>
          </cell>
        </row>
        <row r="9">
          <cell r="A9" t="str">
            <v>Q6</v>
          </cell>
        </row>
        <row r="10">
          <cell r="A10" t="str">
            <v>Q7</v>
          </cell>
        </row>
        <row r="11">
          <cell r="A11" t="str">
            <v>Q8</v>
          </cell>
        </row>
        <row r="12">
          <cell r="A12" t="str">
            <v>Q9</v>
          </cell>
        </row>
        <row r="13">
          <cell r="A13" t="str">
            <v>Q10</v>
          </cell>
        </row>
        <row r="14">
          <cell r="A14" t="str">
            <v>Q11</v>
          </cell>
        </row>
        <row r="15">
          <cell r="A15" t="str">
            <v>Q12</v>
          </cell>
        </row>
        <row r="16">
          <cell r="A16" t="str">
            <v>Q13</v>
          </cell>
        </row>
        <row r="17">
          <cell r="A17" t="str">
            <v>Q14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zoomScale="90" zoomScaleNormal="90" workbookViewId="0"/>
  </sheetViews>
  <sheetFormatPr defaultColWidth="8.6640625" defaultRowHeight="14.4" x14ac:dyDescent="0.3"/>
  <cols>
    <col min="1" max="1" width="30" customWidth="1"/>
    <col min="2" max="2" width="12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ht="33.75" customHeight="1" x14ac:dyDescent="0.3">
      <c r="A5" s="5" t="s">
        <v>3</v>
      </c>
      <c r="B5" s="6" t="s">
        <v>4</v>
      </c>
    </row>
    <row r="6" spans="1:2" ht="48.75" customHeight="1" x14ac:dyDescent="0.3">
      <c r="A6" s="5" t="s">
        <v>5</v>
      </c>
      <c r="B6" s="6" t="s">
        <v>6</v>
      </c>
    </row>
    <row r="7" spans="1:2" x14ac:dyDescent="0.3">
      <c r="A7" s="3" t="s">
        <v>7</v>
      </c>
      <c r="B7" s="4"/>
    </row>
    <row r="8" spans="1:2" ht="33.75" customHeight="1" x14ac:dyDescent="0.3">
      <c r="A8" s="5" t="s">
        <v>8</v>
      </c>
      <c r="B8" s="6" t="s">
        <v>9</v>
      </c>
    </row>
    <row r="9" spans="1:2" ht="93.75" customHeight="1" x14ac:dyDescent="0.3">
      <c r="A9" s="5" t="s">
        <v>10</v>
      </c>
      <c r="B9" s="6" t="s">
        <v>11</v>
      </c>
    </row>
    <row r="10" spans="1:2" x14ac:dyDescent="0.3">
      <c r="A10" s="3" t="s">
        <v>12</v>
      </c>
      <c r="B10" s="4"/>
    </row>
    <row r="11" spans="1:2" ht="33.75" customHeight="1" x14ac:dyDescent="0.3">
      <c r="A11" s="5" t="s">
        <v>13</v>
      </c>
      <c r="B11" s="6" t="s">
        <v>14</v>
      </c>
    </row>
    <row r="12" spans="1:2" ht="33.75" customHeight="1" x14ac:dyDescent="0.3">
      <c r="A12" s="5" t="s">
        <v>15</v>
      </c>
      <c r="B12" s="6" t="s">
        <v>16</v>
      </c>
    </row>
    <row r="13" spans="1:2" ht="33.75" customHeight="1" x14ac:dyDescent="0.3">
      <c r="A13" s="5" t="s">
        <v>17</v>
      </c>
      <c r="B13" s="6" t="s">
        <v>18</v>
      </c>
    </row>
    <row r="14" spans="1:2" x14ac:dyDescent="0.3">
      <c r="A14" s="3" t="s">
        <v>19</v>
      </c>
      <c r="B14" s="4"/>
    </row>
    <row r="15" spans="1:2" ht="18.75" customHeight="1" x14ac:dyDescent="0.3">
      <c r="A15" s="5" t="s">
        <v>20</v>
      </c>
      <c r="B15" s="6" t="s">
        <v>21</v>
      </c>
    </row>
    <row r="16" spans="1:2" ht="18.75" customHeight="1" x14ac:dyDescent="0.3">
      <c r="A16" s="5" t="s">
        <v>22</v>
      </c>
      <c r="B16" s="6" t="s">
        <v>23</v>
      </c>
    </row>
    <row r="17" spans="1:2" ht="33.75" customHeight="1" x14ac:dyDescent="0.3">
      <c r="A17" s="5" t="s">
        <v>24</v>
      </c>
      <c r="B17" s="6" t="s">
        <v>25</v>
      </c>
    </row>
    <row r="18" spans="1:2" x14ac:dyDescent="0.3">
      <c r="A18" s="3" t="s">
        <v>26</v>
      </c>
      <c r="B18" s="4"/>
    </row>
    <row r="19" spans="1:2" ht="33.75" customHeight="1" x14ac:dyDescent="0.3">
      <c r="A19" s="5" t="s">
        <v>27</v>
      </c>
      <c r="B19" s="6" t="s">
        <v>28</v>
      </c>
    </row>
    <row r="20" spans="1:2" ht="48.75" customHeight="1" x14ac:dyDescent="0.3">
      <c r="A20" s="5" t="s">
        <v>29</v>
      </c>
      <c r="B20" s="6" t="s">
        <v>30</v>
      </c>
    </row>
    <row r="21" spans="1:2" ht="33.75" customHeight="1" x14ac:dyDescent="0.3">
      <c r="A21" s="5" t="s">
        <v>31</v>
      </c>
      <c r="B21" s="6" t="s">
        <v>32</v>
      </c>
    </row>
    <row r="22" spans="1:2" ht="33.75" customHeight="1" x14ac:dyDescent="0.3">
      <c r="A22" s="5" t="s">
        <v>33</v>
      </c>
      <c r="B22" s="6" t="s">
        <v>34</v>
      </c>
    </row>
    <row r="23" spans="1:2" x14ac:dyDescent="0.3">
      <c r="A23" s="3" t="s">
        <v>35</v>
      </c>
      <c r="B23" s="4"/>
    </row>
    <row r="24" spans="1:2" ht="18.75" customHeight="1" x14ac:dyDescent="0.3">
      <c r="A24" s="5" t="s">
        <v>36</v>
      </c>
      <c r="B24" s="6" t="s">
        <v>37</v>
      </c>
    </row>
    <row r="25" spans="1:2" ht="33.75" customHeight="1" x14ac:dyDescent="0.3">
      <c r="A25" s="5" t="s">
        <v>38</v>
      </c>
      <c r="B25" s="6" t="s">
        <v>39</v>
      </c>
    </row>
    <row r="26" spans="1:2" ht="33.75" customHeight="1" x14ac:dyDescent="0.3">
      <c r="A26" s="5" t="s">
        <v>40</v>
      </c>
      <c r="B26" s="6" t="s">
        <v>41</v>
      </c>
    </row>
    <row r="27" spans="1:2" ht="33.75" customHeight="1" x14ac:dyDescent="0.3">
      <c r="A27" s="5" t="s">
        <v>42</v>
      </c>
      <c r="B27" s="6" t="s">
        <v>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90" zoomScaleNormal="90" workbookViewId="0"/>
  </sheetViews>
  <sheetFormatPr defaultColWidth="8.6640625" defaultRowHeight="14.4" x14ac:dyDescent="0.3"/>
  <cols>
    <col min="1" max="1" width="22" customWidth="1"/>
    <col min="2" max="2" width="9" customWidth="1"/>
    <col min="3" max="3" width="10" customWidth="1"/>
    <col min="4" max="5" width="9" customWidth="1"/>
    <col min="6" max="6" width="10" customWidth="1"/>
    <col min="7" max="7" width="12" customWidth="1"/>
    <col min="8" max="8" width="14" customWidth="1"/>
    <col min="9" max="11" width="8" customWidth="1"/>
  </cols>
  <sheetData>
    <row r="1" spans="1:11" ht="17.399999999999999" x14ac:dyDescent="0.3">
      <c r="A1" s="1" t="s">
        <v>44</v>
      </c>
    </row>
    <row r="3" spans="1:11" ht="30" customHeight="1" x14ac:dyDescent="0.3">
      <c r="A3" s="7" t="s">
        <v>45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7" t="s">
        <v>52</v>
      </c>
      <c r="I3" s="7" t="s">
        <v>53</v>
      </c>
      <c r="J3" s="7" t="s">
        <v>54</v>
      </c>
      <c r="K3" s="7" t="s">
        <v>55</v>
      </c>
    </row>
    <row r="4" spans="1:11" x14ac:dyDescent="0.3">
      <c r="A4" s="8" t="s">
        <v>56</v>
      </c>
      <c r="B4" s="8">
        <f>COUNTA('TC - EP'!A4:A200)</f>
        <v>31</v>
      </c>
      <c r="C4" s="8">
        <f>COUNTIF('TC - EP'!L4:L200,"Not Run")</f>
        <v>31</v>
      </c>
      <c r="D4" s="8">
        <f>COUNTIF('TC - EP'!L4:L200,"Pass")</f>
        <v>0</v>
      </c>
      <c r="E4" s="8">
        <f>COUNTIF('TC - EP'!L4:L200,"Fail")</f>
        <v>0</v>
      </c>
      <c r="F4" s="8">
        <f>COUNTIF('TC - EP'!L4:L200,"Blocked")</f>
        <v>0</v>
      </c>
      <c r="G4" s="9">
        <f>IFERROR((B4-C4)/B4,0)</f>
        <v>0</v>
      </c>
      <c r="H4" s="9">
        <f>IFERROR(D4/(D4+E4),0)</f>
        <v>0</v>
      </c>
      <c r="I4" s="8">
        <f>COUNTIF('TC - EP'!I4:I200,"P1")</f>
        <v>14</v>
      </c>
      <c r="J4" s="8">
        <f>COUNTIF('TC - EP'!I4:I200,"P2")</f>
        <v>15</v>
      </c>
      <c r="K4" s="8">
        <f>COUNTIF('TC - EP'!I4:I200,"P3")</f>
        <v>2</v>
      </c>
    </row>
    <row r="5" spans="1:11" x14ac:dyDescent="0.3">
      <c r="A5" s="8" t="s">
        <v>57</v>
      </c>
      <c r="B5" s="8">
        <f>COUNTA('TC - BVA'!A4:A200)</f>
        <v>37</v>
      </c>
      <c r="C5" s="8">
        <f>COUNTIF('TC - BVA'!L4:L200,"Not Run")</f>
        <v>37</v>
      </c>
      <c r="D5" s="8">
        <f>COUNTIF('TC - BVA'!L4:L200,"Pass")</f>
        <v>0</v>
      </c>
      <c r="E5" s="8">
        <f>COUNTIF('TC - BVA'!L4:L200,"Fail")</f>
        <v>0</v>
      </c>
      <c r="F5" s="8">
        <f>COUNTIF('TC - BVA'!L4:L200,"Blocked")</f>
        <v>0</v>
      </c>
      <c r="G5" s="9">
        <f>IFERROR((B5-C5)/B5,0)</f>
        <v>0</v>
      </c>
      <c r="H5" s="9">
        <f>IFERROR(D5/(D5+E5),0)</f>
        <v>0</v>
      </c>
      <c r="I5" s="8">
        <f>COUNTIF('TC - BVA'!I4:I200,"P1")</f>
        <v>5</v>
      </c>
      <c r="J5" s="8">
        <f>COUNTIF('TC - BVA'!I4:I200,"P2")</f>
        <v>15</v>
      </c>
      <c r="K5" s="8">
        <f>COUNTIF('TC - BVA'!I4:I200,"P3")</f>
        <v>17</v>
      </c>
    </row>
    <row r="6" spans="1:11" x14ac:dyDescent="0.3">
      <c r="A6" s="8" t="s">
        <v>58</v>
      </c>
      <c r="B6" s="8">
        <f>COUNTA('TC - STT'!A4:A200)</f>
        <v>19</v>
      </c>
      <c r="C6" s="8">
        <f>COUNTIF('TC - STT'!L4:L200,"Not Run")</f>
        <v>19</v>
      </c>
      <c r="D6" s="8">
        <f>COUNTIF('TC - STT'!L4:L200,"Pass")</f>
        <v>0</v>
      </c>
      <c r="E6" s="8">
        <f>COUNTIF('TC - STT'!L4:L200,"Fail")</f>
        <v>0</v>
      </c>
      <c r="F6" s="8">
        <f>COUNTIF('TC - STT'!L4:L200,"Blocked")</f>
        <v>0</v>
      </c>
      <c r="G6" s="9">
        <f>IFERROR((B6-C6)/B6,0)</f>
        <v>0</v>
      </c>
      <c r="H6" s="9">
        <f>IFERROR(D6/(D6+E6),0)</f>
        <v>0</v>
      </c>
      <c r="I6" s="8">
        <f>COUNTIF('TC - STT'!I4:I200,"P1")</f>
        <v>10</v>
      </c>
      <c r="J6" s="8">
        <f>COUNTIF('TC - STT'!I4:I200,"P2")</f>
        <v>4</v>
      </c>
      <c r="K6" s="8">
        <f>COUNTIF('TC - STT'!I4:I200,"P3")</f>
        <v>5</v>
      </c>
    </row>
    <row r="7" spans="1:11" x14ac:dyDescent="0.3">
      <c r="A7" s="10" t="s">
        <v>46</v>
      </c>
      <c r="B7" s="10">
        <f>SUM(B4:B6)</f>
        <v>87</v>
      </c>
      <c r="C7" s="10">
        <f>SUM(C4:C6)</f>
        <v>87</v>
      </c>
      <c r="D7" s="10">
        <f>SUM(D4:D6)</f>
        <v>0</v>
      </c>
      <c r="E7" s="10">
        <f>SUM(E4:E6)</f>
        <v>0</v>
      </c>
      <c r="F7" s="10">
        <f>SUM(F4:F6)</f>
        <v>0</v>
      </c>
      <c r="G7" s="11">
        <f>IFERROR((B7-C7)/B7,0)</f>
        <v>0</v>
      </c>
      <c r="H7" s="11">
        <f>IFERROR(D7/(D7+E7),0)</f>
        <v>0</v>
      </c>
      <c r="I7" s="10">
        <f>SUM(I4:I6)</f>
        <v>29</v>
      </c>
      <c r="J7" s="10">
        <f>SUM(J4:J6)</f>
        <v>34</v>
      </c>
      <c r="K7" s="10">
        <f>SUM(K4:K6)</f>
        <v>24</v>
      </c>
    </row>
    <row r="9" spans="1:11" x14ac:dyDescent="0.3">
      <c r="A9" s="12" t="s">
        <v>59</v>
      </c>
    </row>
    <row r="10" spans="1:11" x14ac:dyDescent="0.3">
      <c r="A10" s="8" t="s">
        <v>60</v>
      </c>
      <c r="B10" s="8">
        <f>COUNTA('EP Analysis'!B4:B100)</f>
        <v>40</v>
      </c>
      <c r="C10" s="8" t="s">
        <v>61</v>
      </c>
    </row>
    <row r="11" spans="1:11" x14ac:dyDescent="0.3">
      <c r="A11" s="8" t="s">
        <v>62</v>
      </c>
      <c r="B11" s="8">
        <f>COUNTA('BVA Analysis'!A4:A100)</f>
        <v>20</v>
      </c>
      <c r="C11" s="8" t="s">
        <v>63</v>
      </c>
    </row>
    <row r="12" spans="1:11" x14ac:dyDescent="0.3">
      <c r="A12" s="8" t="s">
        <v>64</v>
      </c>
      <c r="B12" s="8">
        <f>COUNTA('STT Model'!A34:A51)</f>
        <v>18</v>
      </c>
      <c r="C12" s="8" t="s">
        <v>65</v>
      </c>
    </row>
    <row r="13" spans="1:11" x14ac:dyDescent="0.3">
      <c r="A13" s="8" t="s">
        <v>66</v>
      </c>
      <c r="B13" s="8">
        <f>COUNTA('[1]Open Questions'!A4:A100)</f>
        <v>14</v>
      </c>
      <c r="C13" s="8" t="s">
        <v>67</v>
      </c>
    </row>
    <row r="14" spans="1:11" x14ac:dyDescent="0.3">
      <c r="A14" s="8" t="s">
        <v>68</v>
      </c>
      <c r="B14" s="8">
        <f>COUNTIF('TC - EP'!M4:M200,"*predicts FAIL*")+COUNTIF('TC - BVA'!M4:M200,"*predicts FAIL*")+COUNTIF('TC - STT'!M4:M200,"*predicts FAIL*")</f>
        <v>4</v>
      </c>
      <c r="C14" s="8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2" width="16" customWidth="1"/>
    <col min="3" max="3" width="42" customWidth="1"/>
    <col min="4" max="4" width="7" customWidth="1"/>
    <col min="5" max="5" width="30" customWidth="1"/>
    <col min="6" max="6" width="32" customWidth="1"/>
    <col min="7" max="7" width="20" customWidth="1"/>
  </cols>
  <sheetData>
    <row r="1" spans="1:7" ht="17.399999999999999" x14ac:dyDescent="0.3">
      <c r="A1" s="1" t="s">
        <v>70</v>
      </c>
    </row>
    <row r="2" spans="1:7" x14ac:dyDescent="0.3">
      <c r="A2" s="2" t="s">
        <v>71</v>
      </c>
    </row>
    <row r="3" spans="1:7" ht="30" customHeight="1" x14ac:dyDescent="0.3">
      <c r="A3" s="7" t="s">
        <v>72</v>
      </c>
      <c r="B3" s="7" t="s">
        <v>73</v>
      </c>
      <c r="C3" s="7" t="s">
        <v>74</v>
      </c>
      <c r="D3" s="7" t="s">
        <v>75</v>
      </c>
      <c r="E3" s="7" t="s">
        <v>76</v>
      </c>
      <c r="F3" s="7" t="s">
        <v>77</v>
      </c>
      <c r="G3" s="7" t="s">
        <v>78</v>
      </c>
    </row>
    <row r="4" spans="1:7" ht="18.75" customHeight="1" x14ac:dyDescent="0.3">
      <c r="A4" s="13" t="s">
        <v>79</v>
      </c>
      <c r="B4" s="13" t="s">
        <v>80</v>
      </c>
      <c r="C4" s="13" t="s">
        <v>81</v>
      </c>
      <c r="D4" s="13" t="s">
        <v>82</v>
      </c>
      <c r="E4" s="13" t="s">
        <v>83</v>
      </c>
      <c r="F4" s="13" t="s">
        <v>84</v>
      </c>
      <c r="G4" s="13" t="s">
        <v>85</v>
      </c>
    </row>
    <row r="5" spans="1:7" ht="18.75" customHeight="1" x14ac:dyDescent="0.3">
      <c r="A5" s="13" t="s">
        <v>79</v>
      </c>
      <c r="B5" s="13" t="s">
        <v>86</v>
      </c>
      <c r="C5" s="13" t="s">
        <v>87</v>
      </c>
      <c r="D5" s="13" t="s">
        <v>88</v>
      </c>
      <c r="E5" s="13" t="s">
        <v>89</v>
      </c>
      <c r="F5" s="13" t="s">
        <v>90</v>
      </c>
      <c r="G5" s="13" t="s">
        <v>91</v>
      </c>
    </row>
    <row r="6" spans="1:7" ht="18.75" customHeight="1" x14ac:dyDescent="0.3">
      <c r="A6" s="13" t="s">
        <v>79</v>
      </c>
      <c r="B6" s="13" t="s">
        <v>92</v>
      </c>
      <c r="C6" s="13" t="s">
        <v>93</v>
      </c>
      <c r="D6" s="13" t="s">
        <v>88</v>
      </c>
      <c r="E6" s="13" t="s">
        <v>94</v>
      </c>
      <c r="F6" s="13" t="s">
        <v>95</v>
      </c>
      <c r="G6" s="13" t="s">
        <v>96</v>
      </c>
    </row>
    <row r="7" spans="1:7" ht="18.75" customHeight="1" x14ac:dyDescent="0.3">
      <c r="A7" s="13" t="s">
        <v>79</v>
      </c>
      <c r="B7" s="13" t="s">
        <v>97</v>
      </c>
      <c r="C7" s="13" t="s">
        <v>98</v>
      </c>
      <c r="D7" s="13" t="s">
        <v>88</v>
      </c>
      <c r="E7" s="13" t="s">
        <v>99</v>
      </c>
      <c r="F7" s="13" t="s">
        <v>100</v>
      </c>
      <c r="G7" s="13" t="s">
        <v>101</v>
      </c>
    </row>
    <row r="8" spans="1:7" ht="18.75" customHeight="1" x14ac:dyDescent="0.3">
      <c r="A8" s="13" t="s">
        <v>102</v>
      </c>
      <c r="B8" s="13" t="s">
        <v>103</v>
      </c>
      <c r="C8" s="13" t="s">
        <v>81</v>
      </c>
      <c r="D8" s="13" t="s">
        <v>82</v>
      </c>
      <c r="E8" s="13" t="s">
        <v>104</v>
      </c>
      <c r="F8" s="13" t="s">
        <v>105</v>
      </c>
      <c r="G8" s="13" t="s">
        <v>85</v>
      </c>
    </row>
    <row r="9" spans="1:7" ht="18.75" customHeight="1" x14ac:dyDescent="0.3">
      <c r="A9" s="13" t="s">
        <v>102</v>
      </c>
      <c r="B9" s="13" t="s">
        <v>106</v>
      </c>
      <c r="C9" s="13" t="s">
        <v>87</v>
      </c>
      <c r="D9" s="13" t="s">
        <v>88</v>
      </c>
      <c r="E9" s="13" t="s">
        <v>89</v>
      </c>
      <c r="F9" s="13" t="s">
        <v>90</v>
      </c>
      <c r="G9" s="13" t="s">
        <v>107</v>
      </c>
    </row>
    <row r="10" spans="1:7" ht="18.75" customHeight="1" x14ac:dyDescent="0.3">
      <c r="A10" s="13" t="s">
        <v>108</v>
      </c>
      <c r="B10" s="13" t="s">
        <v>109</v>
      </c>
      <c r="C10" s="13" t="s">
        <v>110</v>
      </c>
      <c r="D10" s="13" t="s">
        <v>82</v>
      </c>
      <c r="E10" s="13" t="s">
        <v>111</v>
      </c>
      <c r="F10" s="13" t="s">
        <v>112</v>
      </c>
      <c r="G10" s="13" t="s">
        <v>85</v>
      </c>
    </row>
    <row r="11" spans="1:7" ht="18.75" customHeight="1" x14ac:dyDescent="0.3">
      <c r="A11" s="13" t="s">
        <v>108</v>
      </c>
      <c r="B11" s="13" t="s">
        <v>113</v>
      </c>
      <c r="C11" s="13" t="s">
        <v>114</v>
      </c>
      <c r="D11" s="13" t="s">
        <v>88</v>
      </c>
      <c r="E11" s="13" t="s">
        <v>115</v>
      </c>
      <c r="F11" s="13" t="s">
        <v>116</v>
      </c>
      <c r="G11" s="13" t="s">
        <v>117</v>
      </c>
    </row>
    <row r="12" spans="1:7" ht="18.75" customHeight="1" x14ac:dyDescent="0.3">
      <c r="A12" s="13" t="s">
        <v>108</v>
      </c>
      <c r="B12" s="13" t="s">
        <v>118</v>
      </c>
      <c r="C12" s="13" t="s">
        <v>119</v>
      </c>
      <c r="D12" s="13" t="s">
        <v>88</v>
      </c>
      <c r="E12" s="13" t="s">
        <v>120</v>
      </c>
      <c r="F12" s="13" t="s">
        <v>121</v>
      </c>
      <c r="G12" s="13" t="s">
        <v>122</v>
      </c>
    </row>
    <row r="13" spans="1:7" ht="18.75" customHeight="1" x14ac:dyDescent="0.3">
      <c r="A13" s="13" t="s">
        <v>108</v>
      </c>
      <c r="B13" s="13" t="s">
        <v>123</v>
      </c>
      <c r="C13" s="13" t="s">
        <v>87</v>
      </c>
      <c r="D13" s="13" t="s">
        <v>88</v>
      </c>
      <c r="E13" s="13" t="s">
        <v>89</v>
      </c>
      <c r="F13" s="13" t="s">
        <v>90</v>
      </c>
      <c r="G13" s="13" t="s">
        <v>124</v>
      </c>
    </row>
    <row r="14" spans="1:7" ht="18.75" customHeight="1" x14ac:dyDescent="0.3">
      <c r="A14" s="13" t="s">
        <v>125</v>
      </c>
      <c r="B14" s="13" t="s">
        <v>126</v>
      </c>
      <c r="C14" s="13" t="s">
        <v>127</v>
      </c>
      <c r="D14" s="13" t="s">
        <v>88</v>
      </c>
      <c r="E14" s="13" t="s">
        <v>128</v>
      </c>
      <c r="F14" s="13" t="s">
        <v>129</v>
      </c>
      <c r="G14" s="13" t="s">
        <v>130</v>
      </c>
    </row>
    <row r="15" spans="1:7" ht="18.75" customHeight="1" x14ac:dyDescent="0.3">
      <c r="A15" s="13" t="s">
        <v>125</v>
      </c>
      <c r="B15" s="13" t="s">
        <v>131</v>
      </c>
      <c r="C15" s="13" t="s">
        <v>132</v>
      </c>
      <c r="D15" s="13" t="s">
        <v>82</v>
      </c>
      <c r="E15" s="13" t="s">
        <v>133</v>
      </c>
      <c r="F15" s="13" t="s">
        <v>134</v>
      </c>
      <c r="G15" s="13" t="s">
        <v>85</v>
      </c>
    </row>
    <row r="16" spans="1:7" ht="18.75" customHeight="1" x14ac:dyDescent="0.3">
      <c r="A16" s="13" t="s">
        <v>125</v>
      </c>
      <c r="B16" s="13" t="s">
        <v>135</v>
      </c>
      <c r="C16" s="13" t="s">
        <v>136</v>
      </c>
      <c r="D16" s="13" t="s">
        <v>88</v>
      </c>
      <c r="E16" s="13" t="s">
        <v>137</v>
      </c>
      <c r="F16" s="13" t="s">
        <v>138</v>
      </c>
      <c r="G16" s="13" t="s">
        <v>139</v>
      </c>
    </row>
    <row r="17" spans="1:7" ht="18.75" customHeight="1" x14ac:dyDescent="0.3">
      <c r="A17" s="13" t="s">
        <v>140</v>
      </c>
      <c r="B17" s="13" t="s">
        <v>141</v>
      </c>
      <c r="C17" s="13" t="s">
        <v>142</v>
      </c>
      <c r="D17" s="13" t="s">
        <v>82</v>
      </c>
      <c r="E17" s="13" t="s">
        <v>143</v>
      </c>
      <c r="F17" s="13" t="s">
        <v>90</v>
      </c>
      <c r="G17" s="13" t="s">
        <v>85</v>
      </c>
    </row>
    <row r="18" spans="1:7" ht="18.75" customHeight="1" x14ac:dyDescent="0.3">
      <c r="A18" s="13" t="s">
        <v>140</v>
      </c>
      <c r="B18" s="13" t="s">
        <v>144</v>
      </c>
      <c r="C18" s="13" t="s">
        <v>145</v>
      </c>
      <c r="D18" s="13" t="s">
        <v>88</v>
      </c>
      <c r="E18" s="13" t="s">
        <v>146</v>
      </c>
      <c r="F18" s="13" t="s">
        <v>90</v>
      </c>
      <c r="G18" s="13" t="s">
        <v>147</v>
      </c>
    </row>
    <row r="19" spans="1:7" ht="18.75" customHeight="1" x14ac:dyDescent="0.3">
      <c r="A19" s="13" t="s">
        <v>148</v>
      </c>
      <c r="B19" s="13" t="s">
        <v>149</v>
      </c>
      <c r="C19" s="13" t="s">
        <v>150</v>
      </c>
      <c r="D19" s="13" t="s">
        <v>82</v>
      </c>
      <c r="E19" s="13" t="s">
        <v>151</v>
      </c>
      <c r="F19" s="13" t="s">
        <v>152</v>
      </c>
      <c r="G19" s="13" t="s">
        <v>153</v>
      </c>
    </row>
    <row r="20" spans="1:7" ht="18.75" customHeight="1" x14ac:dyDescent="0.3">
      <c r="A20" s="13" t="s">
        <v>148</v>
      </c>
      <c r="B20" s="13" t="s">
        <v>154</v>
      </c>
      <c r="C20" s="13" t="s">
        <v>155</v>
      </c>
      <c r="D20" s="13" t="s">
        <v>88</v>
      </c>
      <c r="E20" s="13" t="s">
        <v>156</v>
      </c>
      <c r="F20" s="13" t="s">
        <v>152</v>
      </c>
      <c r="G20" s="13" t="s">
        <v>157</v>
      </c>
    </row>
    <row r="21" spans="1:7" ht="18.75" customHeight="1" x14ac:dyDescent="0.3">
      <c r="A21" s="13" t="s">
        <v>148</v>
      </c>
      <c r="B21" s="13" t="s">
        <v>158</v>
      </c>
      <c r="C21" s="13" t="s">
        <v>159</v>
      </c>
      <c r="D21" s="13" t="s">
        <v>82</v>
      </c>
      <c r="E21" s="13" t="s">
        <v>160</v>
      </c>
      <c r="F21" s="13" t="s">
        <v>161</v>
      </c>
      <c r="G21" s="13" t="s">
        <v>85</v>
      </c>
    </row>
    <row r="22" spans="1:7" ht="18.75" customHeight="1" x14ac:dyDescent="0.3">
      <c r="A22" s="13" t="s">
        <v>148</v>
      </c>
      <c r="B22" s="13" t="s">
        <v>162</v>
      </c>
      <c r="C22" s="13" t="s">
        <v>87</v>
      </c>
      <c r="D22" s="13" t="s">
        <v>88</v>
      </c>
      <c r="E22" s="13" t="s">
        <v>89</v>
      </c>
      <c r="F22" s="13" t="s">
        <v>90</v>
      </c>
      <c r="G22" s="13" t="s">
        <v>163</v>
      </c>
    </row>
    <row r="23" spans="1:7" ht="18.75" customHeight="1" x14ac:dyDescent="0.3">
      <c r="A23" s="13" t="s">
        <v>164</v>
      </c>
      <c r="B23" s="13" t="s">
        <v>165</v>
      </c>
      <c r="C23" s="13" t="s">
        <v>166</v>
      </c>
      <c r="D23" s="13" t="s">
        <v>82</v>
      </c>
      <c r="E23" s="13" t="s">
        <v>167</v>
      </c>
      <c r="F23" s="13" t="s">
        <v>90</v>
      </c>
      <c r="G23" s="13" t="s">
        <v>85</v>
      </c>
    </row>
    <row r="24" spans="1:7" ht="18.75" customHeight="1" x14ac:dyDescent="0.3">
      <c r="A24" s="13" t="s">
        <v>164</v>
      </c>
      <c r="B24" s="13" t="s">
        <v>168</v>
      </c>
      <c r="C24" s="13" t="s">
        <v>87</v>
      </c>
      <c r="D24" s="13" t="s">
        <v>88</v>
      </c>
      <c r="E24" s="13" t="s">
        <v>89</v>
      </c>
      <c r="F24" s="13" t="s">
        <v>90</v>
      </c>
      <c r="G24" s="13" t="s">
        <v>169</v>
      </c>
    </row>
    <row r="25" spans="1:7" ht="18.75" customHeight="1" x14ac:dyDescent="0.3">
      <c r="A25" s="13" t="s">
        <v>170</v>
      </c>
      <c r="B25" s="13" t="s">
        <v>171</v>
      </c>
      <c r="C25" s="13" t="s">
        <v>172</v>
      </c>
      <c r="D25" s="13" t="s">
        <v>75</v>
      </c>
      <c r="E25" s="13" t="s">
        <v>173</v>
      </c>
      <c r="F25" s="13" t="s">
        <v>90</v>
      </c>
      <c r="G25" s="13" t="s">
        <v>174</v>
      </c>
    </row>
    <row r="26" spans="1:7" ht="18.75" customHeight="1" x14ac:dyDescent="0.3">
      <c r="A26" s="13" t="s">
        <v>175</v>
      </c>
      <c r="B26" s="13" t="s">
        <v>176</v>
      </c>
      <c r="C26" s="13" t="s">
        <v>172</v>
      </c>
      <c r="D26" s="13" t="s">
        <v>75</v>
      </c>
      <c r="E26" s="13" t="s">
        <v>177</v>
      </c>
      <c r="F26" s="13" t="s">
        <v>90</v>
      </c>
      <c r="G26" s="13" t="s">
        <v>178</v>
      </c>
    </row>
    <row r="27" spans="1:7" ht="18.75" customHeight="1" x14ac:dyDescent="0.3">
      <c r="A27" s="13" t="s">
        <v>179</v>
      </c>
      <c r="B27" s="13" t="s">
        <v>180</v>
      </c>
      <c r="C27" s="13" t="s">
        <v>172</v>
      </c>
      <c r="D27" s="13" t="s">
        <v>75</v>
      </c>
      <c r="E27" s="13" t="s">
        <v>181</v>
      </c>
      <c r="F27" s="13" t="s">
        <v>90</v>
      </c>
      <c r="G27" s="13" t="s">
        <v>182</v>
      </c>
    </row>
    <row r="28" spans="1:7" ht="18.75" customHeight="1" x14ac:dyDescent="0.3">
      <c r="A28" s="13" t="s">
        <v>183</v>
      </c>
      <c r="B28" s="13" t="s">
        <v>184</v>
      </c>
      <c r="C28" s="13" t="s">
        <v>185</v>
      </c>
      <c r="D28" s="13" t="s">
        <v>82</v>
      </c>
      <c r="E28" s="13" t="s">
        <v>186</v>
      </c>
      <c r="F28" s="13" t="s">
        <v>187</v>
      </c>
      <c r="G28" s="13" t="s">
        <v>85</v>
      </c>
    </row>
    <row r="29" spans="1:7" ht="18.75" customHeight="1" x14ac:dyDescent="0.3">
      <c r="A29" s="13" t="s">
        <v>183</v>
      </c>
      <c r="B29" s="13" t="s">
        <v>188</v>
      </c>
      <c r="C29" s="13" t="s">
        <v>189</v>
      </c>
      <c r="D29" s="13" t="s">
        <v>88</v>
      </c>
      <c r="E29" s="13" t="s">
        <v>190</v>
      </c>
      <c r="F29" s="13" t="s">
        <v>191</v>
      </c>
      <c r="G29" s="13" t="s">
        <v>192</v>
      </c>
    </row>
    <row r="30" spans="1:7" ht="18.75" customHeight="1" x14ac:dyDescent="0.3">
      <c r="A30" s="13" t="s">
        <v>183</v>
      </c>
      <c r="B30" s="13" t="s">
        <v>193</v>
      </c>
      <c r="C30" s="13" t="s">
        <v>194</v>
      </c>
      <c r="D30" s="13" t="s">
        <v>88</v>
      </c>
      <c r="E30" s="13" t="s">
        <v>195</v>
      </c>
      <c r="F30" s="13" t="s">
        <v>196</v>
      </c>
      <c r="G30" s="13" t="s">
        <v>197</v>
      </c>
    </row>
    <row r="31" spans="1:7" ht="18.75" customHeight="1" x14ac:dyDescent="0.3">
      <c r="A31" s="13" t="s">
        <v>183</v>
      </c>
      <c r="B31" s="13" t="s">
        <v>198</v>
      </c>
      <c r="C31" s="13" t="s">
        <v>87</v>
      </c>
      <c r="D31" s="13" t="s">
        <v>88</v>
      </c>
      <c r="E31" s="13" t="s">
        <v>89</v>
      </c>
      <c r="F31" s="13" t="s">
        <v>90</v>
      </c>
      <c r="G31" s="13" t="s">
        <v>199</v>
      </c>
    </row>
    <row r="32" spans="1:7" ht="18.75" customHeight="1" x14ac:dyDescent="0.3">
      <c r="A32" s="13" t="s">
        <v>200</v>
      </c>
      <c r="B32" s="13" t="s">
        <v>201</v>
      </c>
      <c r="C32" s="13" t="s">
        <v>202</v>
      </c>
      <c r="D32" s="13" t="s">
        <v>82</v>
      </c>
      <c r="E32" s="13" t="s">
        <v>203</v>
      </c>
      <c r="F32" s="13" t="s">
        <v>204</v>
      </c>
      <c r="G32" s="13" t="s">
        <v>85</v>
      </c>
    </row>
    <row r="33" spans="1:7" ht="18.75" customHeight="1" x14ac:dyDescent="0.3">
      <c r="A33" s="13" t="s">
        <v>200</v>
      </c>
      <c r="B33" s="13" t="s">
        <v>205</v>
      </c>
      <c r="C33" s="13" t="s">
        <v>206</v>
      </c>
      <c r="D33" s="13" t="s">
        <v>88</v>
      </c>
      <c r="E33" s="13" t="s">
        <v>207</v>
      </c>
      <c r="F33" s="13" t="s">
        <v>191</v>
      </c>
      <c r="G33" s="13" t="s">
        <v>208</v>
      </c>
    </row>
    <row r="34" spans="1:7" ht="18.75" customHeight="1" x14ac:dyDescent="0.3">
      <c r="A34" s="13" t="s">
        <v>200</v>
      </c>
      <c r="B34" s="13" t="s">
        <v>209</v>
      </c>
      <c r="C34" s="13" t="s">
        <v>210</v>
      </c>
      <c r="D34" s="13" t="s">
        <v>88</v>
      </c>
      <c r="E34" s="13" t="s">
        <v>211</v>
      </c>
      <c r="F34" s="13" t="s">
        <v>191</v>
      </c>
      <c r="G34" s="13" t="s">
        <v>212</v>
      </c>
    </row>
    <row r="35" spans="1:7" ht="33.75" customHeight="1" x14ac:dyDescent="0.3">
      <c r="A35" s="13" t="s">
        <v>200</v>
      </c>
      <c r="B35" s="13" t="s">
        <v>213</v>
      </c>
      <c r="C35" s="13" t="s">
        <v>214</v>
      </c>
      <c r="D35" s="13" t="s">
        <v>88</v>
      </c>
      <c r="E35" s="13" t="s">
        <v>215</v>
      </c>
      <c r="F35" s="13" t="s">
        <v>216</v>
      </c>
      <c r="G35" s="13" t="s">
        <v>217</v>
      </c>
    </row>
    <row r="36" spans="1:7" ht="18.75" customHeight="1" x14ac:dyDescent="0.3">
      <c r="A36" s="13" t="s">
        <v>200</v>
      </c>
      <c r="B36" s="13" t="s">
        <v>218</v>
      </c>
      <c r="C36" s="13" t="s">
        <v>87</v>
      </c>
      <c r="D36" s="13" t="s">
        <v>88</v>
      </c>
      <c r="E36" s="13" t="s">
        <v>89</v>
      </c>
      <c r="F36" s="13" t="s">
        <v>90</v>
      </c>
      <c r="G36" s="13" t="s">
        <v>219</v>
      </c>
    </row>
    <row r="37" spans="1:7" ht="33.75" customHeight="1" x14ac:dyDescent="0.3">
      <c r="A37" s="13" t="s">
        <v>220</v>
      </c>
      <c r="B37" s="13" t="s">
        <v>221</v>
      </c>
      <c r="C37" s="13" t="s">
        <v>222</v>
      </c>
      <c r="D37" s="13" t="s">
        <v>82</v>
      </c>
      <c r="E37" s="13" t="s">
        <v>223</v>
      </c>
      <c r="F37" s="13" t="s">
        <v>224</v>
      </c>
      <c r="G37" s="13" t="s">
        <v>85</v>
      </c>
    </row>
    <row r="38" spans="1:7" ht="18.75" customHeight="1" x14ac:dyDescent="0.3">
      <c r="A38" s="13" t="s">
        <v>220</v>
      </c>
      <c r="B38" s="13" t="s">
        <v>225</v>
      </c>
      <c r="C38" s="13" t="s">
        <v>226</v>
      </c>
      <c r="D38" s="13" t="s">
        <v>88</v>
      </c>
      <c r="E38" s="13" t="s">
        <v>227</v>
      </c>
      <c r="F38" s="13" t="s">
        <v>228</v>
      </c>
      <c r="G38" s="13" t="s">
        <v>229</v>
      </c>
    </row>
    <row r="39" spans="1:7" ht="18.75" customHeight="1" x14ac:dyDescent="0.3">
      <c r="A39" s="13" t="s">
        <v>220</v>
      </c>
      <c r="B39" s="13" t="s">
        <v>230</v>
      </c>
      <c r="C39" s="13" t="s">
        <v>231</v>
      </c>
      <c r="D39" s="13" t="s">
        <v>88</v>
      </c>
      <c r="E39" s="13" t="s">
        <v>232</v>
      </c>
      <c r="F39" s="13" t="s">
        <v>228</v>
      </c>
      <c r="G39" s="13" t="s">
        <v>233</v>
      </c>
    </row>
    <row r="40" spans="1:7" ht="18.75" customHeight="1" x14ac:dyDescent="0.3">
      <c r="A40" s="13" t="s">
        <v>220</v>
      </c>
      <c r="B40" s="13" t="s">
        <v>234</v>
      </c>
      <c r="C40" s="13" t="s">
        <v>235</v>
      </c>
      <c r="D40" s="13" t="s">
        <v>88</v>
      </c>
      <c r="E40" s="13" t="s">
        <v>236</v>
      </c>
      <c r="F40" s="13" t="s">
        <v>237</v>
      </c>
      <c r="G40" s="13" t="s">
        <v>238</v>
      </c>
    </row>
    <row r="41" spans="1:7" ht="18.75" customHeight="1" x14ac:dyDescent="0.3">
      <c r="A41" s="13" t="s">
        <v>220</v>
      </c>
      <c r="B41" s="13" t="s">
        <v>239</v>
      </c>
      <c r="C41" s="13" t="s">
        <v>240</v>
      </c>
      <c r="D41" s="13" t="s">
        <v>88</v>
      </c>
      <c r="E41" s="13" t="s">
        <v>241</v>
      </c>
      <c r="F41" s="13" t="s">
        <v>242</v>
      </c>
      <c r="G41" s="13" t="s">
        <v>243</v>
      </c>
    </row>
    <row r="42" spans="1:7" ht="18.75" customHeight="1" x14ac:dyDescent="0.3">
      <c r="A42" s="13" t="s">
        <v>220</v>
      </c>
      <c r="B42" s="13" t="s">
        <v>244</v>
      </c>
      <c r="C42" s="13" t="s">
        <v>245</v>
      </c>
      <c r="D42" s="13" t="s">
        <v>88</v>
      </c>
      <c r="E42" s="13" t="s">
        <v>246</v>
      </c>
      <c r="F42" s="13" t="s">
        <v>247</v>
      </c>
      <c r="G42" s="13" t="s">
        <v>248</v>
      </c>
    </row>
    <row r="43" spans="1:7" ht="18.75" customHeight="1" x14ac:dyDescent="0.3">
      <c r="A43" s="13" t="s">
        <v>220</v>
      </c>
      <c r="B43" s="13" t="s">
        <v>249</v>
      </c>
      <c r="C43" s="13" t="s">
        <v>87</v>
      </c>
      <c r="D43" s="13" t="s">
        <v>88</v>
      </c>
      <c r="E43" s="13" t="s">
        <v>89</v>
      </c>
      <c r="F43" s="13" t="s">
        <v>90</v>
      </c>
      <c r="G43" s="13" t="s">
        <v>250</v>
      </c>
    </row>
  </sheetData>
  <autoFilter ref="A3:G4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4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10" customWidth="1"/>
    <col min="11" max="11" width="22" customWidth="1"/>
    <col min="12" max="12" width="11" customWidth="1"/>
    <col min="13" max="13" width="30" customWidth="1"/>
  </cols>
  <sheetData>
    <row r="1" spans="1:13" ht="17.399999999999999" x14ac:dyDescent="0.3">
      <c r="A1" s="1" t="s">
        <v>251</v>
      </c>
    </row>
    <row r="2" spans="1:13" x14ac:dyDescent="0.3">
      <c r="A2" s="2" t="s">
        <v>252</v>
      </c>
    </row>
    <row r="3" spans="1:13" ht="30" customHeight="1" x14ac:dyDescent="0.3">
      <c r="A3" s="7" t="s">
        <v>253</v>
      </c>
      <c r="B3" s="7" t="s">
        <v>254</v>
      </c>
      <c r="C3" s="7" t="s">
        <v>255</v>
      </c>
      <c r="D3" s="7" t="s">
        <v>256</v>
      </c>
      <c r="E3" s="7" t="s">
        <v>257</v>
      </c>
      <c r="F3" s="7" t="s">
        <v>258</v>
      </c>
      <c r="G3" s="7" t="s">
        <v>259</v>
      </c>
      <c r="H3" s="7" t="s">
        <v>260</v>
      </c>
      <c r="I3" s="7" t="s">
        <v>261</v>
      </c>
      <c r="J3" s="7" t="s">
        <v>262</v>
      </c>
      <c r="K3" s="7" t="s">
        <v>263</v>
      </c>
      <c r="L3" s="7" t="s">
        <v>40</v>
      </c>
      <c r="M3" s="7" t="s">
        <v>264</v>
      </c>
    </row>
    <row r="4" spans="1:13" ht="48.75" customHeight="1" x14ac:dyDescent="0.3">
      <c r="A4" s="13" t="s">
        <v>85</v>
      </c>
      <c r="B4" s="13" t="s">
        <v>265</v>
      </c>
      <c r="C4" s="13" t="s">
        <v>266</v>
      </c>
      <c r="D4" s="13" t="s">
        <v>267</v>
      </c>
      <c r="E4" s="13" t="s">
        <v>268</v>
      </c>
      <c r="F4" s="13" t="s">
        <v>269</v>
      </c>
      <c r="G4" s="13" t="s">
        <v>270</v>
      </c>
      <c r="H4" s="13" t="s">
        <v>271</v>
      </c>
      <c r="I4" s="13" t="s">
        <v>53</v>
      </c>
      <c r="J4" s="13" t="s">
        <v>272</v>
      </c>
      <c r="K4" s="13"/>
      <c r="L4" s="13" t="s">
        <v>47</v>
      </c>
      <c r="M4" s="13"/>
    </row>
    <row r="5" spans="1:13" ht="63.75" customHeight="1" x14ac:dyDescent="0.3">
      <c r="A5" s="13" t="s">
        <v>153</v>
      </c>
      <c r="B5" s="13" t="s">
        <v>273</v>
      </c>
      <c r="C5" s="13" t="s">
        <v>149</v>
      </c>
      <c r="D5" s="13" t="s">
        <v>274</v>
      </c>
      <c r="E5" s="13" t="s">
        <v>268</v>
      </c>
      <c r="F5" s="13" t="s">
        <v>275</v>
      </c>
      <c r="G5" s="13" t="s">
        <v>276</v>
      </c>
      <c r="H5" s="13" t="s">
        <v>277</v>
      </c>
      <c r="I5" s="13" t="s">
        <v>54</v>
      </c>
      <c r="J5" s="13" t="s">
        <v>278</v>
      </c>
      <c r="K5" s="13"/>
      <c r="L5" s="13" t="s">
        <v>47</v>
      </c>
      <c r="M5" s="13"/>
    </row>
    <row r="6" spans="1:13" ht="48.75" customHeight="1" x14ac:dyDescent="0.3">
      <c r="A6" s="13" t="s">
        <v>91</v>
      </c>
      <c r="B6" s="13" t="s">
        <v>279</v>
      </c>
      <c r="C6" s="13" t="s">
        <v>86</v>
      </c>
      <c r="D6" s="13" t="s">
        <v>280</v>
      </c>
      <c r="E6" s="13" t="s">
        <v>268</v>
      </c>
      <c r="F6" s="13" t="s">
        <v>281</v>
      </c>
      <c r="G6" s="13" t="s">
        <v>282</v>
      </c>
      <c r="H6" s="13" t="s">
        <v>283</v>
      </c>
      <c r="I6" s="13" t="s">
        <v>53</v>
      </c>
      <c r="J6" s="13" t="s">
        <v>278</v>
      </c>
      <c r="K6" s="13"/>
      <c r="L6" s="13" t="s">
        <v>47</v>
      </c>
      <c r="M6" s="13"/>
    </row>
    <row r="7" spans="1:13" ht="48.75" customHeight="1" x14ac:dyDescent="0.3">
      <c r="A7" s="13" t="s">
        <v>96</v>
      </c>
      <c r="B7" s="13" t="s">
        <v>284</v>
      </c>
      <c r="C7" s="13" t="s">
        <v>92</v>
      </c>
      <c r="D7" s="13" t="s">
        <v>285</v>
      </c>
      <c r="E7" s="13" t="s">
        <v>268</v>
      </c>
      <c r="F7" s="13" t="s">
        <v>286</v>
      </c>
      <c r="G7" s="13" t="s">
        <v>287</v>
      </c>
      <c r="H7" s="13" t="s">
        <v>288</v>
      </c>
      <c r="I7" s="13" t="s">
        <v>54</v>
      </c>
      <c r="J7" s="13" t="s">
        <v>278</v>
      </c>
      <c r="K7" s="13"/>
      <c r="L7" s="13" t="s">
        <v>47</v>
      </c>
      <c r="M7" s="13" t="s">
        <v>289</v>
      </c>
    </row>
    <row r="8" spans="1:13" ht="63.75" customHeight="1" x14ac:dyDescent="0.3">
      <c r="A8" s="13" t="s">
        <v>101</v>
      </c>
      <c r="B8" s="13" t="s">
        <v>290</v>
      </c>
      <c r="C8" s="13" t="s">
        <v>97</v>
      </c>
      <c r="D8" s="13" t="s">
        <v>291</v>
      </c>
      <c r="E8" s="13" t="s">
        <v>268</v>
      </c>
      <c r="F8" s="13" t="s">
        <v>292</v>
      </c>
      <c r="G8" s="13" t="s">
        <v>293</v>
      </c>
      <c r="H8" s="13" t="s">
        <v>294</v>
      </c>
      <c r="I8" s="13" t="s">
        <v>55</v>
      </c>
      <c r="J8" s="13" t="s">
        <v>295</v>
      </c>
      <c r="K8" s="13"/>
      <c r="L8" s="13" t="s">
        <v>47</v>
      </c>
      <c r="M8" s="13"/>
    </row>
    <row r="9" spans="1:13" ht="48.75" customHeight="1" x14ac:dyDescent="0.3">
      <c r="A9" s="13" t="s">
        <v>107</v>
      </c>
      <c r="B9" s="13" t="s">
        <v>296</v>
      </c>
      <c r="C9" s="13" t="s">
        <v>106</v>
      </c>
      <c r="D9" s="13" t="s">
        <v>297</v>
      </c>
      <c r="E9" s="13" t="s">
        <v>268</v>
      </c>
      <c r="F9" s="13" t="s">
        <v>298</v>
      </c>
      <c r="G9" s="13" t="s">
        <v>299</v>
      </c>
      <c r="H9" s="13" t="s">
        <v>300</v>
      </c>
      <c r="I9" s="13" t="s">
        <v>53</v>
      </c>
      <c r="J9" s="13" t="s">
        <v>278</v>
      </c>
      <c r="K9" s="13"/>
      <c r="L9" s="13" t="s">
        <v>47</v>
      </c>
      <c r="M9" s="13"/>
    </row>
    <row r="10" spans="1:13" ht="48.75" customHeight="1" x14ac:dyDescent="0.3">
      <c r="A10" s="13" t="s">
        <v>117</v>
      </c>
      <c r="B10" s="13" t="s">
        <v>108</v>
      </c>
      <c r="C10" s="13" t="s">
        <v>113</v>
      </c>
      <c r="D10" s="13" t="s">
        <v>301</v>
      </c>
      <c r="E10" s="13" t="s">
        <v>268</v>
      </c>
      <c r="F10" s="13" t="s">
        <v>302</v>
      </c>
      <c r="G10" s="13" t="s">
        <v>303</v>
      </c>
      <c r="H10" s="13" t="s">
        <v>304</v>
      </c>
      <c r="I10" s="13" t="s">
        <v>54</v>
      </c>
      <c r="J10" s="13" t="s">
        <v>278</v>
      </c>
      <c r="K10" s="13"/>
      <c r="L10" s="13" t="s">
        <v>47</v>
      </c>
      <c r="M10" s="13"/>
    </row>
    <row r="11" spans="1:13" ht="48.75" customHeight="1" x14ac:dyDescent="0.3">
      <c r="A11" s="13" t="s">
        <v>122</v>
      </c>
      <c r="B11" s="13" t="s">
        <v>305</v>
      </c>
      <c r="C11" s="13" t="s">
        <v>118</v>
      </c>
      <c r="D11" s="13" t="s">
        <v>306</v>
      </c>
      <c r="E11" s="13" t="s">
        <v>268</v>
      </c>
      <c r="F11" s="13" t="s">
        <v>307</v>
      </c>
      <c r="G11" s="13" t="s">
        <v>308</v>
      </c>
      <c r="H11" s="13" t="s">
        <v>304</v>
      </c>
      <c r="I11" s="13" t="s">
        <v>54</v>
      </c>
      <c r="J11" s="13" t="s">
        <v>278</v>
      </c>
      <c r="K11" s="13"/>
      <c r="L11" s="13" t="s">
        <v>47</v>
      </c>
      <c r="M11" s="13"/>
    </row>
    <row r="12" spans="1:13" ht="48.75" customHeight="1" x14ac:dyDescent="0.3">
      <c r="A12" s="13" t="s">
        <v>124</v>
      </c>
      <c r="B12" s="13" t="s">
        <v>309</v>
      </c>
      <c r="C12" s="13" t="s">
        <v>123</v>
      </c>
      <c r="D12" s="13" t="s">
        <v>310</v>
      </c>
      <c r="E12" s="13" t="s">
        <v>268</v>
      </c>
      <c r="F12" s="13" t="s">
        <v>311</v>
      </c>
      <c r="G12" s="13" t="s">
        <v>312</v>
      </c>
      <c r="H12" s="13" t="s">
        <v>313</v>
      </c>
      <c r="I12" s="13" t="s">
        <v>53</v>
      </c>
      <c r="J12" s="13" t="s">
        <v>278</v>
      </c>
      <c r="K12" s="13"/>
      <c r="L12" s="13" t="s">
        <v>47</v>
      </c>
      <c r="M12" s="13"/>
    </row>
    <row r="13" spans="1:13" ht="48.75" customHeight="1" x14ac:dyDescent="0.3">
      <c r="A13" s="13" t="s">
        <v>130</v>
      </c>
      <c r="B13" s="13" t="s">
        <v>314</v>
      </c>
      <c r="C13" s="13" t="s">
        <v>126</v>
      </c>
      <c r="D13" s="13" t="s">
        <v>315</v>
      </c>
      <c r="E13" s="13" t="s">
        <v>268</v>
      </c>
      <c r="F13" s="13" t="s">
        <v>316</v>
      </c>
      <c r="G13" s="13" t="s">
        <v>317</v>
      </c>
      <c r="H13" s="13" t="s">
        <v>318</v>
      </c>
      <c r="I13" s="13" t="s">
        <v>53</v>
      </c>
      <c r="J13" s="13" t="s">
        <v>272</v>
      </c>
      <c r="K13" s="13"/>
      <c r="L13" s="13" t="s">
        <v>47</v>
      </c>
      <c r="M13" s="13" t="s">
        <v>319</v>
      </c>
    </row>
    <row r="14" spans="1:13" ht="48.75" customHeight="1" x14ac:dyDescent="0.3">
      <c r="A14" s="13" t="s">
        <v>139</v>
      </c>
      <c r="B14" s="13" t="s">
        <v>320</v>
      </c>
      <c r="C14" s="13" t="s">
        <v>135</v>
      </c>
      <c r="D14" s="13" t="s">
        <v>321</v>
      </c>
      <c r="E14" s="13" t="s">
        <v>268</v>
      </c>
      <c r="F14" s="13" t="s">
        <v>322</v>
      </c>
      <c r="G14" s="13" t="s">
        <v>323</v>
      </c>
      <c r="H14" s="13" t="s">
        <v>324</v>
      </c>
      <c r="I14" s="13" t="s">
        <v>54</v>
      </c>
      <c r="J14" s="13" t="s">
        <v>278</v>
      </c>
      <c r="K14" s="13"/>
      <c r="L14" s="13" t="s">
        <v>47</v>
      </c>
      <c r="M14" s="14" t="s">
        <v>325</v>
      </c>
    </row>
    <row r="15" spans="1:13" ht="48.75" customHeight="1" x14ac:dyDescent="0.3">
      <c r="A15" s="13" t="s">
        <v>147</v>
      </c>
      <c r="B15" s="13" t="s">
        <v>326</v>
      </c>
      <c r="C15" s="13" t="s">
        <v>144</v>
      </c>
      <c r="D15" s="13" t="s">
        <v>327</v>
      </c>
      <c r="E15" s="13" t="s">
        <v>268</v>
      </c>
      <c r="F15" s="13" t="s">
        <v>328</v>
      </c>
      <c r="G15" s="13" t="s">
        <v>329</v>
      </c>
      <c r="H15" s="13" t="s">
        <v>330</v>
      </c>
      <c r="I15" s="13" t="s">
        <v>53</v>
      </c>
      <c r="J15" s="13" t="s">
        <v>278</v>
      </c>
      <c r="K15" s="13"/>
      <c r="L15" s="13" t="s">
        <v>47</v>
      </c>
      <c r="M15" s="13"/>
    </row>
    <row r="16" spans="1:13" ht="63.75" customHeight="1" x14ac:dyDescent="0.3">
      <c r="A16" s="13" t="s">
        <v>157</v>
      </c>
      <c r="B16" s="13" t="s">
        <v>331</v>
      </c>
      <c r="C16" s="13" t="s">
        <v>154</v>
      </c>
      <c r="D16" s="13" t="s">
        <v>332</v>
      </c>
      <c r="E16" s="13" t="s">
        <v>268</v>
      </c>
      <c r="F16" s="13" t="s">
        <v>333</v>
      </c>
      <c r="G16" s="13" t="s">
        <v>334</v>
      </c>
      <c r="H16" s="13" t="s">
        <v>335</v>
      </c>
      <c r="I16" s="13" t="s">
        <v>54</v>
      </c>
      <c r="J16" s="13" t="s">
        <v>278</v>
      </c>
      <c r="K16" s="13"/>
      <c r="L16" s="13" t="s">
        <v>47</v>
      </c>
      <c r="M16" s="13" t="s">
        <v>336</v>
      </c>
    </row>
    <row r="17" spans="1:13" ht="48.75" customHeight="1" x14ac:dyDescent="0.3">
      <c r="A17" s="13" t="s">
        <v>163</v>
      </c>
      <c r="B17" s="13" t="s">
        <v>337</v>
      </c>
      <c r="C17" s="13" t="s">
        <v>162</v>
      </c>
      <c r="D17" s="13" t="s">
        <v>338</v>
      </c>
      <c r="E17" s="13" t="s">
        <v>268</v>
      </c>
      <c r="F17" s="13" t="s">
        <v>339</v>
      </c>
      <c r="G17" s="13" t="s">
        <v>340</v>
      </c>
      <c r="H17" s="13" t="s">
        <v>341</v>
      </c>
      <c r="I17" s="13" t="s">
        <v>53</v>
      </c>
      <c r="J17" s="13" t="s">
        <v>278</v>
      </c>
      <c r="K17" s="13"/>
      <c r="L17" s="13" t="s">
        <v>47</v>
      </c>
      <c r="M17" s="13"/>
    </row>
    <row r="18" spans="1:13" ht="48.75" customHeight="1" x14ac:dyDescent="0.3">
      <c r="A18" s="13" t="s">
        <v>169</v>
      </c>
      <c r="B18" s="13" t="s">
        <v>342</v>
      </c>
      <c r="C18" s="13" t="s">
        <v>168</v>
      </c>
      <c r="D18" s="13" t="s">
        <v>343</v>
      </c>
      <c r="E18" s="13" t="s">
        <v>268</v>
      </c>
      <c r="F18" s="13" t="s">
        <v>344</v>
      </c>
      <c r="G18" s="13" t="s">
        <v>345</v>
      </c>
      <c r="H18" s="13" t="s">
        <v>346</v>
      </c>
      <c r="I18" s="13" t="s">
        <v>54</v>
      </c>
      <c r="J18" s="13" t="s">
        <v>278</v>
      </c>
      <c r="K18" s="13"/>
      <c r="L18" s="13" t="s">
        <v>47</v>
      </c>
      <c r="M18" s="13"/>
    </row>
    <row r="19" spans="1:13" ht="48.75" customHeight="1" x14ac:dyDescent="0.3">
      <c r="A19" s="13" t="s">
        <v>347</v>
      </c>
      <c r="B19" s="13" t="s">
        <v>348</v>
      </c>
      <c r="C19" s="13" t="s">
        <v>349</v>
      </c>
      <c r="D19" s="13" t="s">
        <v>350</v>
      </c>
      <c r="E19" s="13" t="s">
        <v>268</v>
      </c>
      <c r="F19" s="13" t="s">
        <v>351</v>
      </c>
      <c r="G19" s="13" t="s">
        <v>352</v>
      </c>
      <c r="H19" s="13" t="s">
        <v>353</v>
      </c>
      <c r="I19" s="13" t="s">
        <v>54</v>
      </c>
      <c r="J19" s="13" t="s">
        <v>278</v>
      </c>
      <c r="K19" s="13"/>
      <c r="L19" s="13" t="s">
        <v>47</v>
      </c>
      <c r="M19" s="13" t="s">
        <v>354</v>
      </c>
    </row>
    <row r="20" spans="1:13" ht="48.75" customHeight="1" x14ac:dyDescent="0.3">
      <c r="A20" s="13" t="s">
        <v>355</v>
      </c>
      <c r="B20" s="13" t="s">
        <v>356</v>
      </c>
      <c r="C20" s="13" t="s">
        <v>357</v>
      </c>
      <c r="D20" s="13" t="s">
        <v>358</v>
      </c>
      <c r="E20" s="13" t="s">
        <v>268</v>
      </c>
      <c r="F20" s="13" t="s">
        <v>359</v>
      </c>
      <c r="G20" s="13" t="s">
        <v>360</v>
      </c>
      <c r="H20" s="13" t="s">
        <v>361</v>
      </c>
      <c r="I20" s="13" t="s">
        <v>54</v>
      </c>
      <c r="J20" s="13" t="s">
        <v>278</v>
      </c>
      <c r="K20" s="13"/>
      <c r="L20" s="13" t="s">
        <v>47</v>
      </c>
      <c r="M20" s="13" t="s">
        <v>354</v>
      </c>
    </row>
    <row r="21" spans="1:13" ht="48.75" customHeight="1" x14ac:dyDescent="0.3">
      <c r="A21" s="13" t="s">
        <v>362</v>
      </c>
      <c r="B21" s="13" t="s">
        <v>363</v>
      </c>
      <c r="C21" s="13" t="s">
        <v>364</v>
      </c>
      <c r="D21" s="13" t="s">
        <v>365</v>
      </c>
      <c r="E21" s="13" t="s">
        <v>268</v>
      </c>
      <c r="F21" s="13" t="s">
        <v>366</v>
      </c>
      <c r="G21" s="13" t="s">
        <v>367</v>
      </c>
      <c r="H21" s="13" t="s">
        <v>368</v>
      </c>
      <c r="I21" s="13" t="s">
        <v>54</v>
      </c>
      <c r="J21" s="13" t="s">
        <v>278</v>
      </c>
      <c r="K21" s="13"/>
      <c r="L21" s="13" t="s">
        <v>47</v>
      </c>
      <c r="M21" s="13" t="s">
        <v>354</v>
      </c>
    </row>
    <row r="22" spans="1:13" ht="48.75" customHeight="1" x14ac:dyDescent="0.3">
      <c r="A22" s="13" t="s">
        <v>192</v>
      </c>
      <c r="B22" s="13" t="s">
        <v>369</v>
      </c>
      <c r="C22" s="13" t="s">
        <v>188</v>
      </c>
      <c r="D22" s="13" t="s">
        <v>370</v>
      </c>
      <c r="E22" s="13" t="s">
        <v>268</v>
      </c>
      <c r="F22" s="13" t="s">
        <v>371</v>
      </c>
      <c r="G22" s="13" t="s">
        <v>372</v>
      </c>
      <c r="H22" s="13" t="s">
        <v>373</v>
      </c>
      <c r="I22" s="13" t="s">
        <v>54</v>
      </c>
      <c r="J22" s="13" t="s">
        <v>278</v>
      </c>
      <c r="K22" s="13"/>
      <c r="L22" s="13" t="s">
        <v>47</v>
      </c>
      <c r="M22" s="13"/>
    </row>
    <row r="23" spans="1:13" ht="48.75" customHeight="1" x14ac:dyDescent="0.3">
      <c r="A23" s="13" t="s">
        <v>197</v>
      </c>
      <c r="B23" s="13" t="s">
        <v>369</v>
      </c>
      <c r="C23" s="13" t="s">
        <v>193</v>
      </c>
      <c r="D23" s="13" t="s">
        <v>374</v>
      </c>
      <c r="E23" s="13" t="s">
        <v>268</v>
      </c>
      <c r="F23" s="13" t="s">
        <v>375</v>
      </c>
      <c r="G23" s="13" t="s">
        <v>376</v>
      </c>
      <c r="H23" s="13" t="s">
        <v>373</v>
      </c>
      <c r="I23" s="13" t="s">
        <v>55</v>
      </c>
      <c r="J23" s="13" t="s">
        <v>295</v>
      </c>
      <c r="K23" s="13"/>
      <c r="L23" s="13" t="s">
        <v>47</v>
      </c>
      <c r="M23" s="13" t="s">
        <v>377</v>
      </c>
    </row>
    <row r="24" spans="1:13" ht="48.75" customHeight="1" x14ac:dyDescent="0.3">
      <c r="A24" s="13" t="s">
        <v>199</v>
      </c>
      <c r="B24" s="13" t="s">
        <v>378</v>
      </c>
      <c r="C24" s="13" t="s">
        <v>198</v>
      </c>
      <c r="D24" s="13" t="s">
        <v>379</v>
      </c>
      <c r="E24" s="13" t="s">
        <v>268</v>
      </c>
      <c r="F24" s="13" t="s">
        <v>380</v>
      </c>
      <c r="G24" s="13" t="s">
        <v>381</v>
      </c>
      <c r="H24" s="13" t="s">
        <v>382</v>
      </c>
      <c r="I24" s="13" t="s">
        <v>53</v>
      </c>
      <c r="J24" s="13" t="s">
        <v>278</v>
      </c>
      <c r="K24" s="13"/>
      <c r="L24" s="13" t="s">
        <v>47</v>
      </c>
      <c r="M24" s="13" t="s">
        <v>383</v>
      </c>
    </row>
    <row r="25" spans="1:13" ht="48.75" customHeight="1" x14ac:dyDescent="0.3">
      <c r="A25" s="13" t="s">
        <v>208</v>
      </c>
      <c r="B25" s="13" t="s">
        <v>384</v>
      </c>
      <c r="C25" s="13" t="s">
        <v>205</v>
      </c>
      <c r="D25" s="13" t="s">
        <v>385</v>
      </c>
      <c r="E25" s="13" t="s">
        <v>268</v>
      </c>
      <c r="F25" s="13" t="s">
        <v>386</v>
      </c>
      <c r="G25" s="13" t="s">
        <v>387</v>
      </c>
      <c r="H25" s="13" t="s">
        <v>388</v>
      </c>
      <c r="I25" s="13" t="s">
        <v>53</v>
      </c>
      <c r="J25" s="13" t="s">
        <v>278</v>
      </c>
      <c r="K25" s="13"/>
      <c r="L25" s="13" t="s">
        <v>47</v>
      </c>
      <c r="M25" s="13"/>
    </row>
    <row r="26" spans="1:13" ht="48.75" customHeight="1" x14ac:dyDescent="0.3">
      <c r="A26" s="13" t="s">
        <v>212</v>
      </c>
      <c r="B26" s="13" t="s">
        <v>384</v>
      </c>
      <c r="C26" s="13" t="s">
        <v>209</v>
      </c>
      <c r="D26" s="13" t="s">
        <v>389</v>
      </c>
      <c r="E26" s="13" t="s">
        <v>268</v>
      </c>
      <c r="F26" s="13" t="s">
        <v>390</v>
      </c>
      <c r="G26" s="13" t="s">
        <v>391</v>
      </c>
      <c r="H26" s="13" t="s">
        <v>388</v>
      </c>
      <c r="I26" s="13" t="s">
        <v>54</v>
      </c>
      <c r="J26" s="13" t="s">
        <v>278</v>
      </c>
      <c r="K26" s="13"/>
      <c r="L26" s="13" t="s">
        <v>47</v>
      </c>
      <c r="M26" s="13"/>
    </row>
    <row r="27" spans="1:13" ht="63.75" customHeight="1" x14ac:dyDescent="0.3">
      <c r="A27" s="13" t="s">
        <v>217</v>
      </c>
      <c r="B27" s="13" t="s">
        <v>392</v>
      </c>
      <c r="C27" s="13" t="s">
        <v>213</v>
      </c>
      <c r="D27" s="13" t="s">
        <v>393</v>
      </c>
      <c r="E27" s="13" t="s">
        <v>268</v>
      </c>
      <c r="F27" s="13" t="s">
        <v>394</v>
      </c>
      <c r="G27" s="13" t="s">
        <v>395</v>
      </c>
      <c r="H27" s="13" t="s">
        <v>396</v>
      </c>
      <c r="I27" s="13" t="s">
        <v>53</v>
      </c>
      <c r="J27" s="13" t="s">
        <v>272</v>
      </c>
      <c r="K27" s="13"/>
      <c r="L27" s="13" t="s">
        <v>47</v>
      </c>
      <c r="M27" s="13"/>
    </row>
    <row r="28" spans="1:13" ht="48.75" customHeight="1" x14ac:dyDescent="0.3">
      <c r="A28" s="13" t="s">
        <v>219</v>
      </c>
      <c r="B28" s="13" t="s">
        <v>397</v>
      </c>
      <c r="C28" s="13" t="s">
        <v>218</v>
      </c>
      <c r="D28" s="13" t="s">
        <v>398</v>
      </c>
      <c r="E28" s="13" t="s">
        <v>268</v>
      </c>
      <c r="F28" s="13" t="s">
        <v>399</v>
      </c>
      <c r="G28" s="13" t="s">
        <v>400</v>
      </c>
      <c r="H28" s="13" t="s">
        <v>401</v>
      </c>
      <c r="I28" s="13" t="s">
        <v>53</v>
      </c>
      <c r="J28" s="13" t="s">
        <v>278</v>
      </c>
      <c r="K28" s="13"/>
      <c r="L28" s="13" t="s">
        <v>47</v>
      </c>
      <c r="M28" s="13"/>
    </row>
    <row r="29" spans="1:13" ht="48.75" customHeight="1" x14ac:dyDescent="0.3">
      <c r="A29" s="13" t="s">
        <v>229</v>
      </c>
      <c r="B29" s="13" t="s">
        <v>402</v>
      </c>
      <c r="C29" s="13" t="s">
        <v>225</v>
      </c>
      <c r="D29" s="13" t="s">
        <v>403</v>
      </c>
      <c r="E29" s="13" t="s">
        <v>268</v>
      </c>
      <c r="F29" s="13" t="s">
        <v>404</v>
      </c>
      <c r="G29" s="13" t="s">
        <v>405</v>
      </c>
      <c r="H29" s="13" t="s">
        <v>406</v>
      </c>
      <c r="I29" s="13" t="s">
        <v>53</v>
      </c>
      <c r="J29" s="13" t="s">
        <v>278</v>
      </c>
      <c r="K29" s="13"/>
      <c r="L29" s="13" t="s">
        <v>47</v>
      </c>
      <c r="M29" s="13" t="s">
        <v>407</v>
      </c>
    </row>
    <row r="30" spans="1:13" ht="48.75" customHeight="1" x14ac:dyDescent="0.3">
      <c r="A30" s="13" t="s">
        <v>233</v>
      </c>
      <c r="B30" s="13" t="s">
        <v>402</v>
      </c>
      <c r="C30" s="13" t="s">
        <v>230</v>
      </c>
      <c r="D30" s="13" t="s">
        <v>408</v>
      </c>
      <c r="E30" s="13" t="s">
        <v>268</v>
      </c>
      <c r="F30" s="13" t="s">
        <v>409</v>
      </c>
      <c r="G30" s="13" t="s">
        <v>410</v>
      </c>
      <c r="H30" s="13" t="s">
        <v>406</v>
      </c>
      <c r="I30" s="13" t="s">
        <v>54</v>
      </c>
      <c r="J30" s="13" t="s">
        <v>278</v>
      </c>
      <c r="K30" s="13"/>
      <c r="L30" s="13" t="s">
        <v>47</v>
      </c>
      <c r="M30" s="13"/>
    </row>
    <row r="31" spans="1:13" ht="48.75" customHeight="1" x14ac:dyDescent="0.3">
      <c r="A31" s="13" t="s">
        <v>238</v>
      </c>
      <c r="B31" s="13" t="s">
        <v>402</v>
      </c>
      <c r="C31" s="13" t="s">
        <v>234</v>
      </c>
      <c r="D31" s="13" t="s">
        <v>411</v>
      </c>
      <c r="E31" s="13" t="s">
        <v>268</v>
      </c>
      <c r="F31" s="13" t="s">
        <v>412</v>
      </c>
      <c r="G31" s="13" t="s">
        <v>413</v>
      </c>
      <c r="H31" s="13" t="s">
        <v>414</v>
      </c>
      <c r="I31" s="13" t="s">
        <v>54</v>
      </c>
      <c r="J31" s="13" t="s">
        <v>278</v>
      </c>
      <c r="K31" s="13"/>
      <c r="L31" s="13" t="s">
        <v>47</v>
      </c>
      <c r="M31" s="13"/>
    </row>
    <row r="32" spans="1:13" ht="48.75" customHeight="1" x14ac:dyDescent="0.3">
      <c r="A32" s="13" t="s">
        <v>243</v>
      </c>
      <c r="B32" s="13" t="s">
        <v>402</v>
      </c>
      <c r="C32" s="13" t="s">
        <v>239</v>
      </c>
      <c r="D32" s="13" t="s">
        <v>415</v>
      </c>
      <c r="E32" s="13" t="s">
        <v>268</v>
      </c>
      <c r="F32" s="13" t="s">
        <v>416</v>
      </c>
      <c r="G32" s="13" t="s">
        <v>417</v>
      </c>
      <c r="H32" s="13" t="s">
        <v>418</v>
      </c>
      <c r="I32" s="13" t="s">
        <v>54</v>
      </c>
      <c r="J32" s="13" t="s">
        <v>278</v>
      </c>
      <c r="K32" s="13"/>
      <c r="L32" s="13" t="s">
        <v>47</v>
      </c>
      <c r="M32" s="13"/>
    </row>
    <row r="33" spans="1:13" ht="63.75" customHeight="1" x14ac:dyDescent="0.3">
      <c r="A33" s="13" t="s">
        <v>248</v>
      </c>
      <c r="B33" s="13" t="s">
        <v>419</v>
      </c>
      <c r="C33" s="13" t="s">
        <v>244</v>
      </c>
      <c r="D33" s="13" t="s">
        <v>420</v>
      </c>
      <c r="E33" s="13" t="s">
        <v>268</v>
      </c>
      <c r="F33" s="13" t="s">
        <v>421</v>
      </c>
      <c r="G33" s="13" t="s">
        <v>422</v>
      </c>
      <c r="H33" s="13" t="s">
        <v>423</v>
      </c>
      <c r="I33" s="13" t="s">
        <v>53</v>
      </c>
      <c r="J33" s="13" t="s">
        <v>278</v>
      </c>
      <c r="K33" s="13"/>
      <c r="L33" s="13" t="s">
        <v>47</v>
      </c>
      <c r="M33" s="13" t="s">
        <v>424</v>
      </c>
    </row>
    <row r="34" spans="1:13" ht="48.75" customHeight="1" x14ac:dyDescent="0.3">
      <c r="A34" s="13" t="s">
        <v>250</v>
      </c>
      <c r="B34" s="13" t="s">
        <v>425</v>
      </c>
      <c r="C34" s="13" t="s">
        <v>249</v>
      </c>
      <c r="D34" s="13" t="s">
        <v>426</v>
      </c>
      <c r="E34" s="13" t="s">
        <v>268</v>
      </c>
      <c r="F34" s="13" t="s">
        <v>427</v>
      </c>
      <c r="G34" s="13" t="s">
        <v>428</v>
      </c>
      <c r="H34" s="13" t="s">
        <v>429</v>
      </c>
      <c r="I34" s="13" t="s">
        <v>53</v>
      </c>
      <c r="J34" s="13" t="s">
        <v>278</v>
      </c>
      <c r="K34" s="13"/>
      <c r="L34" s="13" t="s">
        <v>47</v>
      </c>
      <c r="M34" s="13"/>
    </row>
  </sheetData>
  <autoFilter ref="A3:M34" xr:uid="{00000000-0009-0000-0000-000003000000}"/>
  <conditionalFormatting sqref="L4:L34">
    <cfRule type="cellIs" dxfId="8" priority="2" operator="equal">
      <formula>"Pass"</formula>
    </cfRule>
    <cfRule type="cellIs" dxfId="7" priority="3" operator="equal">
      <formula>"Fail"</formula>
    </cfRule>
    <cfRule type="cellIs" dxfId="6" priority="4" operator="equal">
      <formula>"Blocked"</formula>
    </cfRule>
  </conditionalFormatting>
  <dataValidations count="1">
    <dataValidation type="list" sqref="L4:L34" xr:uid="{00000000-0002-0000-03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8" customWidth="1"/>
    <col min="2" max="2" width="34" customWidth="1"/>
    <col min="3" max="3" width="28" customWidth="1"/>
    <col min="4" max="4" width="32" customWidth="1"/>
    <col min="5" max="5" width="26" customWidth="1"/>
    <col min="6" max="6" width="40" customWidth="1"/>
  </cols>
  <sheetData>
    <row r="1" spans="1:6" ht="17.399999999999999" x14ac:dyDescent="0.3">
      <c r="A1" s="1" t="s">
        <v>430</v>
      </c>
    </row>
    <row r="2" spans="1:6" x14ac:dyDescent="0.3">
      <c r="A2" s="2" t="s">
        <v>431</v>
      </c>
    </row>
    <row r="3" spans="1:6" ht="30" customHeight="1" x14ac:dyDescent="0.3">
      <c r="A3" s="7" t="s">
        <v>72</v>
      </c>
      <c r="B3" s="7" t="s">
        <v>432</v>
      </c>
      <c r="C3" s="7" t="s">
        <v>433</v>
      </c>
      <c r="D3" s="7" t="s">
        <v>434</v>
      </c>
      <c r="E3" s="7" t="s">
        <v>435</v>
      </c>
      <c r="F3" s="7" t="s">
        <v>78</v>
      </c>
    </row>
    <row r="4" spans="1:6" ht="18.75" customHeight="1" x14ac:dyDescent="0.3">
      <c r="A4" s="13" t="s">
        <v>79</v>
      </c>
      <c r="B4" s="13" t="s">
        <v>436</v>
      </c>
      <c r="C4" s="13" t="s">
        <v>437</v>
      </c>
      <c r="D4" s="13" t="s">
        <v>438</v>
      </c>
      <c r="E4" s="13" t="s">
        <v>439</v>
      </c>
      <c r="F4" s="13" t="s">
        <v>440</v>
      </c>
    </row>
    <row r="5" spans="1:6" ht="18.75" customHeight="1" x14ac:dyDescent="0.3">
      <c r="A5" s="13" t="s">
        <v>79</v>
      </c>
      <c r="B5" s="13" t="s">
        <v>436</v>
      </c>
      <c r="C5" s="13" t="s">
        <v>441</v>
      </c>
      <c r="D5" s="13" t="s">
        <v>442</v>
      </c>
      <c r="E5" s="13" t="s">
        <v>443</v>
      </c>
      <c r="F5" s="13" t="s">
        <v>444</v>
      </c>
    </row>
    <row r="6" spans="1:6" ht="18.75" customHeight="1" x14ac:dyDescent="0.3">
      <c r="A6" s="13" t="s">
        <v>102</v>
      </c>
      <c r="B6" s="13" t="s">
        <v>445</v>
      </c>
      <c r="C6" s="13" t="s">
        <v>437</v>
      </c>
      <c r="D6" s="13" t="s">
        <v>446</v>
      </c>
      <c r="E6" s="13" t="s">
        <v>439</v>
      </c>
      <c r="F6" s="13" t="s">
        <v>447</v>
      </c>
    </row>
    <row r="7" spans="1:6" ht="18.75" customHeight="1" x14ac:dyDescent="0.3">
      <c r="A7" s="13" t="s">
        <v>102</v>
      </c>
      <c r="B7" s="13" t="s">
        <v>445</v>
      </c>
      <c r="C7" s="13" t="s">
        <v>448</v>
      </c>
      <c r="D7" s="13" t="s">
        <v>449</v>
      </c>
      <c r="E7" s="13" t="s">
        <v>443</v>
      </c>
      <c r="F7" s="13" t="s">
        <v>450</v>
      </c>
    </row>
    <row r="8" spans="1:6" ht="18.75" customHeight="1" x14ac:dyDescent="0.3">
      <c r="A8" s="13" t="s">
        <v>170</v>
      </c>
      <c r="B8" s="13" t="s">
        <v>451</v>
      </c>
      <c r="C8" s="13" t="s">
        <v>452</v>
      </c>
      <c r="D8" s="13" t="s">
        <v>453</v>
      </c>
      <c r="E8" s="13" t="s">
        <v>443</v>
      </c>
      <c r="F8" s="13" t="s">
        <v>454</v>
      </c>
    </row>
    <row r="9" spans="1:6" ht="18.75" customHeight="1" x14ac:dyDescent="0.3">
      <c r="A9" s="13" t="s">
        <v>175</v>
      </c>
      <c r="B9" s="13" t="s">
        <v>455</v>
      </c>
      <c r="C9" s="13" t="s">
        <v>441</v>
      </c>
      <c r="D9" s="13" t="s">
        <v>442</v>
      </c>
      <c r="E9" s="13" t="s">
        <v>443</v>
      </c>
      <c r="F9" s="13" t="s">
        <v>456</v>
      </c>
    </row>
    <row r="10" spans="1:6" ht="18.75" customHeight="1" x14ac:dyDescent="0.3">
      <c r="A10" s="13" t="s">
        <v>179</v>
      </c>
      <c r="B10" s="13" t="s">
        <v>455</v>
      </c>
      <c r="C10" s="13" t="s">
        <v>441</v>
      </c>
      <c r="D10" s="13" t="s">
        <v>442</v>
      </c>
      <c r="E10" s="13" t="s">
        <v>443</v>
      </c>
      <c r="F10" s="13" t="s">
        <v>457</v>
      </c>
    </row>
    <row r="11" spans="1:6" ht="18.75" customHeight="1" x14ac:dyDescent="0.3">
      <c r="A11" s="13" t="s">
        <v>458</v>
      </c>
      <c r="B11" s="13" t="s">
        <v>459</v>
      </c>
      <c r="C11" s="13" t="s">
        <v>460</v>
      </c>
      <c r="D11" s="13" t="s">
        <v>461</v>
      </c>
      <c r="E11" s="13" t="s">
        <v>462</v>
      </c>
      <c r="F11" s="13" t="s">
        <v>463</v>
      </c>
    </row>
    <row r="12" spans="1:6" ht="18.75" customHeight="1" x14ac:dyDescent="0.3">
      <c r="A12" s="13" t="s">
        <v>464</v>
      </c>
      <c r="B12" s="13" t="s">
        <v>465</v>
      </c>
      <c r="C12" s="13" t="s">
        <v>466</v>
      </c>
      <c r="D12" s="13" t="s">
        <v>467</v>
      </c>
      <c r="E12" s="13" t="s">
        <v>443</v>
      </c>
      <c r="F12" s="13" t="s">
        <v>468</v>
      </c>
    </row>
    <row r="13" spans="1:6" ht="18.75" customHeight="1" x14ac:dyDescent="0.3">
      <c r="A13" s="13" t="s">
        <v>183</v>
      </c>
      <c r="B13" s="13" t="s">
        <v>469</v>
      </c>
      <c r="C13" s="13" t="s">
        <v>437</v>
      </c>
      <c r="D13" s="13" t="s">
        <v>446</v>
      </c>
      <c r="E13" s="13" t="s">
        <v>439</v>
      </c>
      <c r="F13" s="13" t="s">
        <v>470</v>
      </c>
    </row>
    <row r="14" spans="1:6" ht="18.75" customHeight="1" x14ac:dyDescent="0.3">
      <c r="A14" s="13" t="s">
        <v>183</v>
      </c>
      <c r="B14" s="13" t="s">
        <v>471</v>
      </c>
      <c r="C14" s="13" t="s">
        <v>472</v>
      </c>
      <c r="D14" s="13" t="s">
        <v>473</v>
      </c>
      <c r="E14" s="13" t="s">
        <v>443</v>
      </c>
      <c r="F14" s="13" t="s">
        <v>474</v>
      </c>
    </row>
    <row r="15" spans="1:6" ht="18.75" customHeight="1" x14ac:dyDescent="0.3">
      <c r="A15" s="13" t="s">
        <v>200</v>
      </c>
      <c r="B15" s="13" t="s">
        <v>475</v>
      </c>
      <c r="C15" s="13" t="s">
        <v>476</v>
      </c>
      <c r="D15" s="13" t="s">
        <v>477</v>
      </c>
      <c r="E15" s="13" t="s">
        <v>443</v>
      </c>
      <c r="F15" s="13" t="s">
        <v>478</v>
      </c>
    </row>
    <row r="16" spans="1:6" ht="18.75" customHeight="1" x14ac:dyDescent="0.3">
      <c r="A16" s="13" t="s">
        <v>200</v>
      </c>
      <c r="B16" s="13" t="s">
        <v>479</v>
      </c>
      <c r="C16" s="13" t="s">
        <v>480</v>
      </c>
      <c r="D16" s="13" t="s">
        <v>481</v>
      </c>
      <c r="E16" s="13" t="s">
        <v>443</v>
      </c>
      <c r="F16" s="13" t="s">
        <v>482</v>
      </c>
    </row>
    <row r="17" spans="1:6" ht="18.75" customHeight="1" x14ac:dyDescent="0.3">
      <c r="A17" s="13" t="s">
        <v>220</v>
      </c>
      <c r="B17" s="13" t="s">
        <v>483</v>
      </c>
      <c r="C17" s="13" t="s">
        <v>484</v>
      </c>
      <c r="D17" s="13" t="s">
        <v>485</v>
      </c>
      <c r="E17" s="13" t="s">
        <v>439</v>
      </c>
      <c r="F17" s="13" t="s">
        <v>486</v>
      </c>
    </row>
    <row r="18" spans="1:6" ht="18.75" customHeight="1" x14ac:dyDescent="0.3">
      <c r="A18" s="13" t="s">
        <v>220</v>
      </c>
      <c r="B18" s="13" t="s">
        <v>487</v>
      </c>
      <c r="C18" s="13" t="s">
        <v>488</v>
      </c>
      <c r="D18" s="13" t="s">
        <v>489</v>
      </c>
      <c r="E18" s="13" t="s">
        <v>489</v>
      </c>
      <c r="F18" s="13" t="s">
        <v>490</v>
      </c>
    </row>
    <row r="19" spans="1:6" ht="18.75" customHeight="1" x14ac:dyDescent="0.3">
      <c r="A19" s="13" t="s">
        <v>491</v>
      </c>
      <c r="B19" s="13" t="s">
        <v>492</v>
      </c>
      <c r="C19" s="13" t="s">
        <v>493</v>
      </c>
      <c r="D19" s="13" t="s">
        <v>494</v>
      </c>
      <c r="E19" s="13" t="s">
        <v>495</v>
      </c>
      <c r="F19" s="13" t="s">
        <v>496</v>
      </c>
    </row>
    <row r="20" spans="1:6" ht="18.75" customHeight="1" x14ac:dyDescent="0.3">
      <c r="A20" s="13" t="s">
        <v>497</v>
      </c>
      <c r="B20" s="13" t="s">
        <v>498</v>
      </c>
      <c r="C20" s="13" t="s">
        <v>499</v>
      </c>
      <c r="D20" s="13" t="s">
        <v>500</v>
      </c>
      <c r="E20" s="13" t="s">
        <v>501</v>
      </c>
      <c r="F20" s="13" t="s">
        <v>502</v>
      </c>
    </row>
    <row r="21" spans="1:6" ht="18.75" customHeight="1" x14ac:dyDescent="0.3">
      <c r="A21" s="13" t="s">
        <v>503</v>
      </c>
      <c r="B21" s="13" t="s">
        <v>504</v>
      </c>
      <c r="C21" s="13" t="s">
        <v>505</v>
      </c>
      <c r="D21" s="13" t="s">
        <v>506</v>
      </c>
      <c r="E21" s="13" t="s">
        <v>443</v>
      </c>
      <c r="F21" s="13" t="s">
        <v>507</v>
      </c>
    </row>
    <row r="22" spans="1:6" ht="18.75" customHeight="1" x14ac:dyDescent="0.3">
      <c r="A22" s="13" t="s">
        <v>503</v>
      </c>
      <c r="B22" s="13" t="s">
        <v>508</v>
      </c>
      <c r="C22" s="13" t="s">
        <v>509</v>
      </c>
      <c r="D22" s="13" t="s">
        <v>510</v>
      </c>
      <c r="E22" s="13" t="s">
        <v>443</v>
      </c>
      <c r="F22" s="13" t="s">
        <v>511</v>
      </c>
    </row>
    <row r="23" spans="1:6" ht="18.75" customHeight="1" x14ac:dyDescent="0.3">
      <c r="A23" s="13" t="s">
        <v>503</v>
      </c>
      <c r="B23" s="13" t="s">
        <v>512</v>
      </c>
      <c r="C23" s="13" t="s">
        <v>513</v>
      </c>
      <c r="D23" s="13" t="s">
        <v>514</v>
      </c>
      <c r="E23" s="13" t="s">
        <v>443</v>
      </c>
      <c r="F23" s="13" t="s">
        <v>515</v>
      </c>
    </row>
  </sheetData>
  <autoFilter ref="A3:F23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0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10" customWidth="1"/>
    <col min="11" max="11" width="22" customWidth="1"/>
    <col min="12" max="12" width="11" customWidth="1"/>
    <col min="13" max="13" width="30" customWidth="1"/>
  </cols>
  <sheetData>
    <row r="1" spans="1:13" ht="17.399999999999999" x14ac:dyDescent="0.3">
      <c r="A1" s="1" t="s">
        <v>516</v>
      </c>
    </row>
    <row r="2" spans="1:13" x14ac:dyDescent="0.3">
      <c r="A2" s="2" t="s">
        <v>252</v>
      </c>
    </row>
    <row r="3" spans="1:13" ht="30" customHeight="1" x14ac:dyDescent="0.3">
      <c r="A3" s="7" t="s">
        <v>253</v>
      </c>
      <c r="B3" s="7" t="s">
        <v>254</v>
      </c>
      <c r="C3" s="7" t="s">
        <v>255</v>
      </c>
      <c r="D3" s="7" t="s">
        <v>256</v>
      </c>
      <c r="E3" s="7" t="s">
        <v>257</v>
      </c>
      <c r="F3" s="7" t="s">
        <v>258</v>
      </c>
      <c r="G3" s="7" t="s">
        <v>259</v>
      </c>
      <c r="H3" s="7" t="s">
        <v>260</v>
      </c>
      <c r="I3" s="7" t="s">
        <v>261</v>
      </c>
      <c r="J3" s="7" t="s">
        <v>262</v>
      </c>
      <c r="K3" s="7" t="s">
        <v>263</v>
      </c>
      <c r="L3" s="7" t="s">
        <v>40</v>
      </c>
      <c r="M3" s="7" t="s">
        <v>264</v>
      </c>
    </row>
    <row r="4" spans="1:13" ht="48.75" customHeight="1" x14ac:dyDescent="0.3">
      <c r="A4" s="13" t="s">
        <v>517</v>
      </c>
      <c r="B4" s="13" t="s">
        <v>518</v>
      </c>
      <c r="C4" s="13" t="s">
        <v>519</v>
      </c>
      <c r="D4" s="13" t="s">
        <v>520</v>
      </c>
      <c r="E4" s="13" t="s">
        <v>268</v>
      </c>
      <c r="F4" s="13" t="s">
        <v>521</v>
      </c>
      <c r="G4" s="13" t="s">
        <v>522</v>
      </c>
      <c r="H4" s="13" t="s">
        <v>271</v>
      </c>
      <c r="I4" s="13" t="s">
        <v>54</v>
      </c>
      <c r="J4" s="13" t="s">
        <v>278</v>
      </c>
      <c r="K4" s="13"/>
      <c r="L4" s="13" t="s">
        <v>47</v>
      </c>
      <c r="M4" s="13" t="s">
        <v>523</v>
      </c>
    </row>
    <row r="5" spans="1:13" ht="48.75" customHeight="1" x14ac:dyDescent="0.3">
      <c r="A5" s="13" t="s">
        <v>524</v>
      </c>
      <c r="B5" s="13" t="s">
        <v>518</v>
      </c>
      <c r="C5" s="13" t="s">
        <v>525</v>
      </c>
      <c r="D5" s="13" t="s">
        <v>526</v>
      </c>
      <c r="E5" s="13" t="s">
        <v>268</v>
      </c>
      <c r="F5" s="13" t="s">
        <v>527</v>
      </c>
      <c r="G5" s="13" t="s">
        <v>528</v>
      </c>
      <c r="H5" s="13" t="s">
        <v>271</v>
      </c>
      <c r="I5" s="13" t="s">
        <v>54</v>
      </c>
      <c r="J5" s="13" t="s">
        <v>278</v>
      </c>
      <c r="K5" s="13"/>
      <c r="L5" s="13" t="s">
        <v>47</v>
      </c>
      <c r="M5" s="13"/>
    </row>
    <row r="6" spans="1:13" ht="48.75" customHeight="1" x14ac:dyDescent="0.3">
      <c r="A6" s="13" t="s">
        <v>529</v>
      </c>
      <c r="B6" s="13" t="s">
        <v>518</v>
      </c>
      <c r="C6" s="13" t="s">
        <v>530</v>
      </c>
      <c r="D6" s="13" t="s">
        <v>531</v>
      </c>
      <c r="E6" s="13" t="s">
        <v>268</v>
      </c>
      <c r="F6" s="13" t="s">
        <v>532</v>
      </c>
      <c r="G6" s="13" t="s">
        <v>533</v>
      </c>
      <c r="H6" s="13" t="s">
        <v>534</v>
      </c>
      <c r="I6" s="13" t="s">
        <v>54</v>
      </c>
      <c r="J6" s="13" t="s">
        <v>278</v>
      </c>
      <c r="K6" s="13"/>
      <c r="L6" s="13" t="s">
        <v>47</v>
      </c>
      <c r="M6" s="13" t="s">
        <v>535</v>
      </c>
    </row>
    <row r="7" spans="1:13" ht="48.75" customHeight="1" x14ac:dyDescent="0.3">
      <c r="A7" s="13" t="s">
        <v>536</v>
      </c>
      <c r="B7" s="13" t="s">
        <v>537</v>
      </c>
      <c r="C7" s="13" t="s">
        <v>519</v>
      </c>
      <c r="D7" s="13" t="s">
        <v>538</v>
      </c>
      <c r="E7" s="13" t="s">
        <v>268</v>
      </c>
      <c r="F7" s="13" t="s">
        <v>539</v>
      </c>
      <c r="G7" s="13" t="s">
        <v>540</v>
      </c>
      <c r="H7" s="13" t="s">
        <v>271</v>
      </c>
      <c r="I7" s="13" t="s">
        <v>54</v>
      </c>
      <c r="J7" s="13" t="s">
        <v>278</v>
      </c>
      <c r="K7" s="13"/>
      <c r="L7" s="13" t="s">
        <v>47</v>
      </c>
      <c r="M7" s="13" t="s">
        <v>541</v>
      </c>
    </row>
    <row r="8" spans="1:13" ht="48.75" customHeight="1" x14ac:dyDescent="0.3">
      <c r="A8" s="13" t="s">
        <v>542</v>
      </c>
      <c r="B8" s="13" t="s">
        <v>537</v>
      </c>
      <c r="C8" s="13" t="s">
        <v>543</v>
      </c>
      <c r="D8" s="13" t="s">
        <v>544</v>
      </c>
      <c r="E8" s="13" t="s">
        <v>268</v>
      </c>
      <c r="F8" s="13" t="s">
        <v>545</v>
      </c>
      <c r="G8" s="13" t="s">
        <v>546</v>
      </c>
      <c r="H8" s="13" t="s">
        <v>271</v>
      </c>
      <c r="I8" s="13" t="s">
        <v>54</v>
      </c>
      <c r="J8" s="13" t="s">
        <v>278</v>
      </c>
      <c r="K8" s="13"/>
      <c r="L8" s="13" t="s">
        <v>47</v>
      </c>
      <c r="M8" s="13"/>
    </row>
    <row r="9" spans="1:13" ht="48.75" customHeight="1" x14ac:dyDescent="0.3">
      <c r="A9" s="13" t="s">
        <v>547</v>
      </c>
      <c r="B9" s="13" t="s">
        <v>537</v>
      </c>
      <c r="C9" s="13" t="s">
        <v>548</v>
      </c>
      <c r="D9" s="13" t="s">
        <v>549</v>
      </c>
      <c r="E9" s="13" t="s">
        <v>268</v>
      </c>
      <c r="F9" s="13" t="s">
        <v>550</v>
      </c>
      <c r="G9" s="13" t="s">
        <v>551</v>
      </c>
      <c r="H9" s="13" t="s">
        <v>552</v>
      </c>
      <c r="I9" s="13" t="s">
        <v>54</v>
      </c>
      <c r="J9" s="13" t="s">
        <v>278</v>
      </c>
      <c r="K9" s="13"/>
      <c r="L9" s="13" t="s">
        <v>47</v>
      </c>
      <c r="M9" s="13"/>
    </row>
    <row r="10" spans="1:13" ht="48.75" customHeight="1" x14ac:dyDescent="0.3">
      <c r="A10" s="13" t="s">
        <v>553</v>
      </c>
      <c r="B10" s="13" t="s">
        <v>554</v>
      </c>
      <c r="C10" s="13" t="s">
        <v>555</v>
      </c>
      <c r="D10" s="13" t="s">
        <v>556</v>
      </c>
      <c r="E10" s="13" t="s">
        <v>268</v>
      </c>
      <c r="F10" s="13" t="s">
        <v>557</v>
      </c>
      <c r="G10" s="13" t="s">
        <v>558</v>
      </c>
      <c r="H10" s="13" t="s">
        <v>271</v>
      </c>
      <c r="I10" s="13" t="s">
        <v>55</v>
      </c>
      <c r="J10" s="13" t="s">
        <v>295</v>
      </c>
      <c r="K10" s="13"/>
      <c r="L10" s="13" t="s">
        <v>47</v>
      </c>
      <c r="M10" s="13"/>
    </row>
    <row r="11" spans="1:13" ht="48.75" customHeight="1" x14ac:dyDescent="0.3">
      <c r="A11" s="13" t="s">
        <v>559</v>
      </c>
      <c r="B11" s="13" t="s">
        <v>554</v>
      </c>
      <c r="C11" s="13" t="s">
        <v>560</v>
      </c>
      <c r="D11" s="13" t="s">
        <v>561</v>
      </c>
      <c r="E11" s="13" t="s">
        <v>268</v>
      </c>
      <c r="F11" s="13" t="s">
        <v>562</v>
      </c>
      <c r="G11" s="13" t="s">
        <v>563</v>
      </c>
      <c r="H11" s="13" t="s">
        <v>564</v>
      </c>
      <c r="I11" s="13" t="s">
        <v>55</v>
      </c>
      <c r="J11" s="13" t="s">
        <v>295</v>
      </c>
      <c r="K11" s="13"/>
      <c r="L11" s="13" t="s">
        <v>47</v>
      </c>
      <c r="M11" s="13"/>
    </row>
    <row r="12" spans="1:13" ht="48.75" customHeight="1" x14ac:dyDescent="0.3">
      <c r="A12" s="13" t="s">
        <v>565</v>
      </c>
      <c r="B12" s="13" t="s">
        <v>566</v>
      </c>
      <c r="C12" s="13" t="s">
        <v>525</v>
      </c>
      <c r="D12" s="13" t="s">
        <v>567</v>
      </c>
      <c r="E12" s="13" t="s">
        <v>268</v>
      </c>
      <c r="F12" s="13" t="s">
        <v>568</v>
      </c>
      <c r="G12" s="13" t="s">
        <v>569</v>
      </c>
      <c r="H12" s="13" t="s">
        <v>271</v>
      </c>
      <c r="I12" s="13" t="s">
        <v>55</v>
      </c>
      <c r="J12" s="13" t="s">
        <v>295</v>
      </c>
      <c r="K12" s="13"/>
      <c r="L12" s="13" t="s">
        <v>47</v>
      </c>
      <c r="M12" s="13"/>
    </row>
    <row r="13" spans="1:13" ht="48.75" customHeight="1" x14ac:dyDescent="0.3">
      <c r="A13" s="13" t="s">
        <v>570</v>
      </c>
      <c r="B13" s="13" t="s">
        <v>566</v>
      </c>
      <c r="C13" s="13" t="s">
        <v>530</v>
      </c>
      <c r="D13" s="13" t="s">
        <v>571</v>
      </c>
      <c r="E13" s="13" t="s">
        <v>268</v>
      </c>
      <c r="F13" s="13" t="s">
        <v>572</v>
      </c>
      <c r="G13" s="13" t="s">
        <v>573</v>
      </c>
      <c r="H13" s="13" t="s">
        <v>574</v>
      </c>
      <c r="I13" s="13" t="s">
        <v>55</v>
      </c>
      <c r="J13" s="13" t="s">
        <v>295</v>
      </c>
      <c r="K13" s="13"/>
      <c r="L13" s="13" t="s">
        <v>47</v>
      </c>
      <c r="M13" s="13"/>
    </row>
    <row r="14" spans="1:13" ht="48.75" customHeight="1" x14ac:dyDescent="0.3">
      <c r="A14" s="13" t="s">
        <v>575</v>
      </c>
      <c r="B14" s="13" t="s">
        <v>576</v>
      </c>
      <c r="C14" s="13" t="s">
        <v>525</v>
      </c>
      <c r="D14" s="13" t="s">
        <v>577</v>
      </c>
      <c r="E14" s="13" t="s">
        <v>268</v>
      </c>
      <c r="F14" s="13" t="s">
        <v>578</v>
      </c>
      <c r="G14" s="13" t="s">
        <v>579</v>
      </c>
      <c r="H14" s="13" t="s">
        <v>271</v>
      </c>
      <c r="I14" s="13" t="s">
        <v>55</v>
      </c>
      <c r="J14" s="13" t="s">
        <v>295</v>
      </c>
      <c r="K14" s="13"/>
      <c r="L14" s="13" t="s">
        <v>47</v>
      </c>
      <c r="M14" s="13"/>
    </row>
    <row r="15" spans="1:13" ht="48.75" customHeight="1" x14ac:dyDescent="0.3">
      <c r="A15" s="13" t="s">
        <v>580</v>
      </c>
      <c r="B15" s="13" t="s">
        <v>576</v>
      </c>
      <c r="C15" s="13" t="s">
        <v>530</v>
      </c>
      <c r="D15" s="13" t="s">
        <v>581</v>
      </c>
      <c r="E15" s="13" t="s">
        <v>268</v>
      </c>
      <c r="F15" s="13" t="s">
        <v>582</v>
      </c>
      <c r="G15" s="13" t="s">
        <v>583</v>
      </c>
      <c r="H15" s="13" t="s">
        <v>584</v>
      </c>
      <c r="I15" s="13" t="s">
        <v>55</v>
      </c>
      <c r="J15" s="13" t="s">
        <v>295</v>
      </c>
      <c r="K15" s="13"/>
      <c r="L15" s="13" t="s">
        <v>47</v>
      </c>
      <c r="M15" s="13"/>
    </row>
    <row r="16" spans="1:13" ht="63.75" customHeight="1" x14ac:dyDescent="0.3">
      <c r="A16" s="13" t="s">
        <v>585</v>
      </c>
      <c r="B16" s="13" t="s">
        <v>586</v>
      </c>
      <c r="C16" s="13" t="s">
        <v>587</v>
      </c>
      <c r="D16" s="13" t="s">
        <v>588</v>
      </c>
      <c r="E16" s="13" t="s">
        <v>268</v>
      </c>
      <c r="F16" s="13" t="s">
        <v>589</v>
      </c>
      <c r="G16" s="13" t="s">
        <v>590</v>
      </c>
      <c r="H16" s="13" t="s">
        <v>335</v>
      </c>
      <c r="I16" s="13" t="s">
        <v>54</v>
      </c>
      <c r="J16" s="13" t="s">
        <v>278</v>
      </c>
      <c r="K16" s="13"/>
      <c r="L16" s="13" t="s">
        <v>47</v>
      </c>
      <c r="M16" s="13" t="s">
        <v>591</v>
      </c>
    </row>
    <row r="17" spans="1:13" ht="63.75" customHeight="1" x14ac:dyDescent="0.3">
      <c r="A17" s="13" t="s">
        <v>592</v>
      </c>
      <c r="B17" s="13" t="s">
        <v>586</v>
      </c>
      <c r="C17" s="13" t="s">
        <v>593</v>
      </c>
      <c r="D17" s="13" t="s">
        <v>594</v>
      </c>
      <c r="E17" s="13" t="s">
        <v>268</v>
      </c>
      <c r="F17" s="13" t="s">
        <v>595</v>
      </c>
      <c r="G17" s="13" t="s">
        <v>596</v>
      </c>
      <c r="H17" s="13" t="s">
        <v>335</v>
      </c>
      <c r="I17" s="13" t="s">
        <v>54</v>
      </c>
      <c r="J17" s="13" t="s">
        <v>278</v>
      </c>
      <c r="K17" s="13"/>
      <c r="L17" s="13" t="s">
        <v>47</v>
      </c>
      <c r="M17" s="13"/>
    </row>
    <row r="18" spans="1:13" ht="48.75" customHeight="1" x14ac:dyDescent="0.3">
      <c r="A18" s="13" t="s">
        <v>597</v>
      </c>
      <c r="B18" s="13" t="s">
        <v>598</v>
      </c>
      <c r="C18" s="13" t="s">
        <v>599</v>
      </c>
      <c r="D18" s="13" t="s">
        <v>600</v>
      </c>
      <c r="E18" s="13" t="s">
        <v>268</v>
      </c>
      <c r="F18" s="13" t="s">
        <v>601</v>
      </c>
      <c r="G18" s="13" t="s">
        <v>602</v>
      </c>
      <c r="H18" s="13" t="s">
        <v>271</v>
      </c>
      <c r="I18" s="13" t="s">
        <v>55</v>
      </c>
      <c r="J18" s="13" t="s">
        <v>295</v>
      </c>
      <c r="K18" s="13"/>
      <c r="L18" s="13" t="s">
        <v>47</v>
      </c>
      <c r="M18" s="13"/>
    </row>
    <row r="19" spans="1:13" ht="48.75" customHeight="1" x14ac:dyDescent="0.3">
      <c r="A19" s="13" t="s">
        <v>603</v>
      </c>
      <c r="B19" s="13" t="s">
        <v>598</v>
      </c>
      <c r="C19" s="13" t="s">
        <v>604</v>
      </c>
      <c r="D19" s="13" t="s">
        <v>605</v>
      </c>
      <c r="E19" s="13" t="s">
        <v>268</v>
      </c>
      <c r="F19" s="13" t="s">
        <v>606</v>
      </c>
      <c r="G19" s="13" t="s">
        <v>607</v>
      </c>
      <c r="H19" s="13" t="s">
        <v>608</v>
      </c>
      <c r="I19" s="13" t="s">
        <v>55</v>
      </c>
      <c r="J19" s="13" t="s">
        <v>295</v>
      </c>
      <c r="K19" s="13"/>
      <c r="L19" s="13" t="s">
        <v>47</v>
      </c>
      <c r="M19" s="13"/>
    </row>
    <row r="20" spans="1:13" ht="48.75" customHeight="1" x14ac:dyDescent="0.3">
      <c r="A20" s="13" t="s">
        <v>609</v>
      </c>
      <c r="B20" s="13" t="s">
        <v>610</v>
      </c>
      <c r="C20" s="13" t="s">
        <v>519</v>
      </c>
      <c r="D20" s="13" t="s">
        <v>611</v>
      </c>
      <c r="E20" s="13" t="s">
        <v>268</v>
      </c>
      <c r="F20" s="13" t="s">
        <v>612</v>
      </c>
      <c r="G20" s="13" t="s">
        <v>613</v>
      </c>
      <c r="H20" s="13" t="s">
        <v>271</v>
      </c>
      <c r="I20" s="13" t="s">
        <v>55</v>
      </c>
      <c r="J20" s="13" t="s">
        <v>295</v>
      </c>
      <c r="K20" s="13"/>
      <c r="L20" s="13" t="s">
        <v>47</v>
      </c>
      <c r="M20" s="13" t="s">
        <v>614</v>
      </c>
    </row>
    <row r="21" spans="1:13" ht="48.75" customHeight="1" x14ac:dyDescent="0.3">
      <c r="A21" s="13" t="s">
        <v>615</v>
      </c>
      <c r="B21" s="13" t="s">
        <v>610</v>
      </c>
      <c r="C21" s="13" t="s">
        <v>616</v>
      </c>
      <c r="D21" s="13" t="s">
        <v>617</v>
      </c>
      <c r="E21" s="13" t="s">
        <v>268</v>
      </c>
      <c r="F21" s="13" t="s">
        <v>618</v>
      </c>
      <c r="G21" s="13" t="s">
        <v>619</v>
      </c>
      <c r="H21" s="13" t="s">
        <v>271</v>
      </c>
      <c r="I21" s="13" t="s">
        <v>55</v>
      </c>
      <c r="J21" s="13" t="s">
        <v>295</v>
      </c>
      <c r="K21" s="13"/>
      <c r="L21" s="13" t="s">
        <v>47</v>
      </c>
      <c r="M21" s="13"/>
    </row>
    <row r="22" spans="1:13" ht="48.75" customHeight="1" x14ac:dyDescent="0.3">
      <c r="A22" s="13" t="s">
        <v>620</v>
      </c>
      <c r="B22" s="13" t="s">
        <v>610</v>
      </c>
      <c r="C22" s="13" t="s">
        <v>621</v>
      </c>
      <c r="D22" s="13" t="s">
        <v>622</v>
      </c>
      <c r="E22" s="13" t="s">
        <v>268</v>
      </c>
      <c r="F22" s="13" t="s">
        <v>623</v>
      </c>
      <c r="G22" s="13" t="s">
        <v>624</v>
      </c>
      <c r="H22" s="13" t="s">
        <v>625</v>
      </c>
      <c r="I22" s="13" t="s">
        <v>55</v>
      </c>
      <c r="J22" s="13" t="s">
        <v>295</v>
      </c>
      <c r="K22" s="13"/>
      <c r="L22" s="13" t="s">
        <v>47</v>
      </c>
      <c r="M22" s="13"/>
    </row>
    <row r="23" spans="1:13" ht="48.75" customHeight="1" x14ac:dyDescent="0.3">
      <c r="A23" s="13" t="s">
        <v>626</v>
      </c>
      <c r="B23" s="13" t="s">
        <v>627</v>
      </c>
      <c r="C23" s="13" t="s">
        <v>628</v>
      </c>
      <c r="D23" s="13" t="s">
        <v>629</v>
      </c>
      <c r="E23" s="13" t="s">
        <v>268</v>
      </c>
      <c r="F23" s="13" t="s">
        <v>630</v>
      </c>
      <c r="G23" s="13" t="s">
        <v>631</v>
      </c>
      <c r="H23" s="13" t="s">
        <v>271</v>
      </c>
      <c r="I23" s="13" t="s">
        <v>54</v>
      </c>
      <c r="J23" s="13" t="s">
        <v>278</v>
      </c>
      <c r="K23" s="13"/>
      <c r="L23" s="13" t="s">
        <v>47</v>
      </c>
      <c r="M23" s="13" t="s">
        <v>632</v>
      </c>
    </row>
    <row r="24" spans="1:13" ht="48.75" customHeight="1" x14ac:dyDescent="0.3">
      <c r="A24" s="13" t="s">
        <v>633</v>
      </c>
      <c r="B24" s="13" t="s">
        <v>627</v>
      </c>
      <c r="C24" s="13" t="s">
        <v>634</v>
      </c>
      <c r="D24" s="13" t="s">
        <v>635</v>
      </c>
      <c r="E24" s="13" t="s">
        <v>268</v>
      </c>
      <c r="F24" s="13" t="s">
        <v>636</v>
      </c>
      <c r="G24" s="13" t="s">
        <v>637</v>
      </c>
      <c r="H24" s="13" t="s">
        <v>388</v>
      </c>
      <c r="I24" s="13" t="s">
        <v>54</v>
      </c>
      <c r="J24" s="13" t="s">
        <v>278</v>
      </c>
      <c r="K24" s="13"/>
      <c r="L24" s="13" t="s">
        <v>47</v>
      </c>
      <c r="M24" s="13"/>
    </row>
    <row r="25" spans="1:13" ht="48.75" customHeight="1" x14ac:dyDescent="0.3">
      <c r="A25" s="13" t="s">
        <v>638</v>
      </c>
      <c r="B25" s="13" t="s">
        <v>639</v>
      </c>
      <c r="C25" s="13" t="s">
        <v>640</v>
      </c>
      <c r="D25" s="13" t="s">
        <v>641</v>
      </c>
      <c r="E25" s="13" t="s">
        <v>268</v>
      </c>
      <c r="F25" s="13" t="s">
        <v>642</v>
      </c>
      <c r="G25" s="13" t="s">
        <v>643</v>
      </c>
      <c r="H25" s="13" t="s">
        <v>271</v>
      </c>
      <c r="I25" s="13" t="s">
        <v>54</v>
      </c>
      <c r="J25" s="13" t="s">
        <v>278</v>
      </c>
      <c r="K25" s="13"/>
      <c r="L25" s="13" t="s">
        <v>47</v>
      </c>
      <c r="M25" s="13"/>
    </row>
    <row r="26" spans="1:13" ht="48.75" customHeight="1" x14ac:dyDescent="0.3">
      <c r="A26" s="13" t="s">
        <v>644</v>
      </c>
      <c r="B26" s="13" t="s">
        <v>639</v>
      </c>
      <c r="C26" s="13" t="s">
        <v>645</v>
      </c>
      <c r="D26" s="13" t="s">
        <v>646</v>
      </c>
      <c r="E26" s="13" t="s">
        <v>268</v>
      </c>
      <c r="F26" s="13" t="s">
        <v>647</v>
      </c>
      <c r="G26" s="13" t="s">
        <v>648</v>
      </c>
      <c r="H26" s="13" t="s">
        <v>388</v>
      </c>
      <c r="I26" s="13" t="s">
        <v>54</v>
      </c>
      <c r="J26" s="13" t="s">
        <v>278</v>
      </c>
      <c r="K26" s="13"/>
      <c r="L26" s="13" t="s">
        <v>47</v>
      </c>
      <c r="M26" s="13"/>
    </row>
    <row r="27" spans="1:13" ht="48.75" customHeight="1" x14ac:dyDescent="0.3">
      <c r="A27" s="13" t="s">
        <v>649</v>
      </c>
      <c r="B27" s="13" t="s">
        <v>650</v>
      </c>
      <c r="C27" s="13" t="s">
        <v>651</v>
      </c>
      <c r="D27" s="13" t="s">
        <v>652</v>
      </c>
      <c r="E27" s="13" t="s">
        <v>268</v>
      </c>
      <c r="F27" s="13" t="s">
        <v>653</v>
      </c>
      <c r="G27" s="13" t="s">
        <v>654</v>
      </c>
      <c r="H27" s="13" t="s">
        <v>655</v>
      </c>
      <c r="I27" s="13" t="s">
        <v>53</v>
      </c>
      <c r="J27" s="13" t="s">
        <v>278</v>
      </c>
      <c r="K27" s="13"/>
      <c r="L27" s="13" t="s">
        <v>47</v>
      </c>
      <c r="M27" s="13" t="s">
        <v>656</v>
      </c>
    </row>
    <row r="28" spans="1:13" ht="48.75" customHeight="1" x14ac:dyDescent="0.3">
      <c r="A28" s="13" t="s">
        <v>657</v>
      </c>
      <c r="B28" s="13" t="s">
        <v>650</v>
      </c>
      <c r="C28" s="13" t="s">
        <v>658</v>
      </c>
      <c r="D28" s="13" t="s">
        <v>659</v>
      </c>
      <c r="E28" s="13" t="s">
        <v>268</v>
      </c>
      <c r="F28" s="13" t="s">
        <v>660</v>
      </c>
      <c r="G28" s="13" t="s">
        <v>661</v>
      </c>
      <c r="H28" s="13" t="s">
        <v>271</v>
      </c>
      <c r="I28" s="13" t="s">
        <v>53</v>
      </c>
      <c r="J28" s="13" t="s">
        <v>278</v>
      </c>
      <c r="K28" s="13"/>
      <c r="L28" s="13" t="s">
        <v>47</v>
      </c>
      <c r="M28" s="13"/>
    </row>
    <row r="29" spans="1:13" ht="48.75" customHeight="1" x14ac:dyDescent="0.3">
      <c r="A29" s="13" t="s">
        <v>662</v>
      </c>
      <c r="B29" s="13" t="s">
        <v>663</v>
      </c>
      <c r="C29" s="13" t="s">
        <v>664</v>
      </c>
      <c r="D29" s="13" t="s">
        <v>665</v>
      </c>
      <c r="E29" s="13" t="s">
        <v>268</v>
      </c>
      <c r="F29" s="13" t="s">
        <v>666</v>
      </c>
      <c r="G29" s="13" t="s">
        <v>667</v>
      </c>
      <c r="H29" s="13" t="s">
        <v>271</v>
      </c>
      <c r="I29" s="13" t="s">
        <v>53</v>
      </c>
      <c r="J29" s="13" t="s">
        <v>272</v>
      </c>
      <c r="K29" s="13"/>
      <c r="L29" s="13" t="s">
        <v>47</v>
      </c>
      <c r="M29" s="13" t="s">
        <v>668</v>
      </c>
    </row>
    <row r="30" spans="1:13" ht="48.75" customHeight="1" x14ac:dyDescent="0.3">
      <c r="A30" s="13" t="s">
        <v>669</v>
      </c>
      <c r="B30" s="13" t="s">
        <v>663</v>
      </c>
      <c r="C30" s="13" t="s">
        <v>670</v>
      </c>
      <c r="D30" s="13" t="s">
        <v>671</v>
      </c>
      <c r="E30" s="13" t="s">
        <v>268</v>
      </c>
      <c r="F30" s="13" t="s">
        <v>672</v>
      </c>
      <c r="G30" s="13" t="s">
        <v>673</v>
      </c>
      <c r="H30" s="13" t="s">
        <v>674</v>
      </c>
      <c r="I30" s="13" t="s">
        <v>53</v>
      </c>
      <c r="J30" s="13" t="s">
        <v>272</v>
      </c>
      <c r="K30" s="13"/>
      <c r="L30" s="13" t="s">
        <v>47</v>
      </c>
      <c r="M30" s="14" t="s">
        <v>675</v>
      </c>
    </row>
    <row r="31" spans="1:13" ht="48.75" customHeight="1" x14ac:dyDescent="0.3">
      <c r="A31" s="13" t="s">
        <v>676</v>
      </c>
      <c r="B31" s="13" t="s">
        <v>663</v>
      </c>
      <c r="C31" s="13" t="s">
        <v>677</v>
      </c>
      <c r="D31" s="13" t="s">
        <v>678</v>
      </c>
      <c r="E31" s="13" t="s">
        <v>268</v>
      </c>
      <c r="F31" s="13" t="s">
        <v>679</v>
      </c>
      <c r="G31" s="13" t="s">
        <v>680</v>
      </c>
      <c r="H31" s="13" t="s">
        <v>318</v>
      </c>
      <c r="I31" s="13" t="s">
        <v>53</v>
      </c>
      <c r="J31" s="13" t="s">
        <v>272</v>
      </c>
      <c r="K31" s="13"/>
      <c r="L31" s="13" t="s">
        <v>47</v>
      </c>
      <c r="M31" s="13"/>
    </row>
    <row r="32" spans="1:13" ht="48.75" customHeight="1" x14ac:dyDescent="0.3">
      <c r="A32" s="13" t="s">
        <v>681</v>
      </c>
      <c r="B32" s="13" t="s">
        <v>682</v>
      </c>
      <c r="C32" s="13" t="s">
        <v>683</v>
      </c>
      <c r="D32" s="13" t="s">
        <v>684</v>
      </c>
      <c r="E32" s="13" t="s">
        <v>268</v>
      </c>
      <c r="F32" s="13" t="s">
        <v>685</v>
      </c>
      <c r="G32" s="13" t="s">
        <v>686</v>
      </c>
      <c r="H32" s="13" t="s">
        <v>271</v>
      </c>
      <c r="I32" s="13" t="s">
        <v>54</v>
      </c>
      <c r="J32" s="13" t="s">
        <v>278</v>
      </c>
      <c r="K32" s="13"/>
      <c r="L32" s="13" t="s">
        <v>47</v>
      </c>
      <c r="M32" s="13" t="s">
        <v>668</v>
      </c>
    </row>
    <row r="33" spans="1:13" ht="48.75" customHeight="1" x14ac:dyDescent="0.3">
      <c r="A33" s="13" t="s">
        <v>687</v>
      </c>
      <c r="B33" s="13" t="s">
        <v>682</v>
      </c>
      <c r="C33" s="13" t="s">
        <v>688</v>
      </c>
      <c r="D33" s="13" t="s">
        <v>689</v>
      </c>
      <c r="E33" s="13" t="s">
        <v>268</v>
      </c>
      <c r="F33" s="13" t="s">
        <v>690</v>
      </c>
      <c r="G33" s="13" t="s">
        <v>691</v>
      </c>
      <c r="H33" s="13" t="s">
        <v>324</v>
      </c>
      <c r="I33" s="13" t="s">
        <v>54</v>
      </c>
      <c r="J33" s="13" t="s">
        <v>278</v>
      </c>
      <c r="K33" s="13"/>
      <c r="L33" s="13" t="s">
        <v>47</v>
      </c>
      <c r="M33" s="14" t="s">
        <v>325</v>
      </c>
    </row>
    <row r="34" spans="1:13" ht="48.75" customHeight="1" x14ac:dyDescent="0.3">
      <c r="A34" s="13" t="s">
        <v>692</v>
      </c>
      <c r="B34" s="13" t="s">
        <v>682</v>
      </c>
      <c r="C34" s="13" t="s">
        <v>693</v>
      </c>
      <c r="D34" s="13" t="s">
        <v>694</v>
      </c>
      <c r="E34" s="13" t="s">
        <v>268</v>
      </c>
      <c r="F34" s="13" t="s">
        <v>695</v>
      </c>
      <c r="G34" s="13" t="s">
        <v>696</v>
      </c>
      <c r="H34" s="13" t="s">
        <v>324</v>
      </c>
      <c r="I34" s="13" t="s">
        <v>54</v>
      </c>
      <c r="J34" s="13" t="s">
        <v>278</v>
      </c>
      <c r="K34" s="13"/>
      <c r="L34" s="13" t="s">
        <v>47</v>
      </c>
      <c r="M34" s="14" t="s">
        <v>325</v>
      </c>
    </row>
    <row r="35" spans="1:13" ht="48.75" customHeight="1" x14ac:dyDescent="0.3">
      <c r="A35" s="13" t="s">
        <v>697</v>
      </c>
      <c r="B35" s="13" t="s">
        <v>698</v>
      </c>
      <c r="C35" s="13" t="s">
        <v>699</v>
      </c>
      <c r="D35" s="13" t="s">
        <v>700</v>
      </c>
      <c r="E35" s="13" t="s">
        <v>268</v>
      </c>
      <c r="F35" s="13" t="s">
        <v>701</v>
      </c>
      <c r="G35" s="13" t="s">
        <v>702</v>
      </c>
      <c r="H35" s="13" t="s">
        <v>271</v>
      </c>
      <c r="I35" s="13" t="s">
        <v>55</v>
      </c>
      <c r="J35" s="13" t="s">
        <v>278</v>
      </c>
      <c r="K35" s="13"/>
      <c r="L35" s="13" t="s">
        <v>47</v>
      </c>
      <c r="M35" s="13"/>
    </row>
    <row r="36" spans="1:13" ht="48.75" customHeight="1" x14ac:dyDescent="0.3">
      <c r="A36" s="13" t="s">
        <v>703</v>
      </c>
      <c r="B36" s="13" t="s">
        <v>698</v>
      </c>
      <c r="C36" s="13" t="s">
        <v>704</v>
      </c>
      <c r="D36" s="13" t="s">
        <v>705</v>
      </c>
      <c r="E36" s="13" t="s">
        <v>268</v>
      </c>
      <c r="F36" s="13" t="s">
        <v>706</v>
      </c>
      <c r="G36" s="13" t="s">
        <v>707</v>
      </c>
      <c r="H36" s="13" t="s">
        <v>304</v>
      </c>
      <c r="I36" s="13" t="s">
        <v>55</v>
      </c>
      <c r="J36" s="13" t="s">
        <v>278</v>
      </c>
      <c r="K36" s="13"/>
      <c r="L36" s="13" t="s">
        <v>47</v>
      </c>
      <c r="M36" s="13"/>
    </row>
    <row r="37" spans="1:13" ht="48.75" customHeight="1" x14ac:dyDescent="0.3">
      <c r="A37" s="13" t="s">
        <v>708</v>
      </c>
      <c r="B37" s="13" t="s">
        <v>698</v>
      </c>
      <c r="C37" s="13" t="s">
        <v>709</v>
      </c>
      <c r="D37" s="13" t="s">
        <v>710</v>
      </c>
      <c r="E37" s="13" t="s">
        <v>268</v>
      </c>
      <c r="F37" s="13" t="s">
        <v>711</v>
      </c>
      <c r="G37" s="13" t="s">
        <v>712</v>
      </c>
      <c r="H37" s="13" t="s">
        <v>271</v>
      </c>
      <c r="I37" s="13" t="s">
        <v>55</v>
      </c>
      <c r="J37" s="13" t="s">
        <v>295</v>
      </c>
      <c r="K37" s="13"/>
      <c r="L37" s="13" t="s">
        <v>47</v>
      </c>
      <c r="M37" s="13"/>
    </row>
    <row r="38" spans="1:13" ht="48.75" customHeight="1" x14ac:dyDescent="0.3">
      <c r="A38" s="13" t="s">
        <v>713</v>
      </c>
      <c r="B38" s="13" t="s">
        <v>698</v>
      </c>
      <c r="C38" s="13" t="s">
        <v>714</v>
      </c>
      <c r="D38" s="13" t="s">
        <v>715</v>
      </c>
      <c r="E38" s="13" t="s">
        <v>268</v>
      </c>
      <c r="F38" s="13" t="s">
        <v>716</v>
      </c>
      <c r="G38" s="13" t="s">
        <v>717</v>
      </c>
      <c r="H38" s="13" t="s">
        <v>304</v>
      </c>
      <c r="I38" s="13" t="s">
        <v>55</v>
      </c>
      <c r="J38" s="13" t="s">
        <v>295</v>
      </c>
      <c r="K38" s="13"/>
      <c r="L38" s="13" t="s">
        <v>47</v>
      </c>
      <c r="M38" s="13"/>
    </row>
    <row r="39" spans="1:13" ht="48.75" customHeight="1" x14ac:dyDescent="0.3">
      <c r="A39" s="13" t="s">
        <v>718</v>
      </c>
      <c r="B39" s="13" t="s">
        <v>698</v>
      </c>
      <c r="C39" s="13" t="s">
        <v>719</v>
      </c>
      <c r="D39" s="13" t="s">
        <v>720</v>
      </c>
      <c r="E39" s="13" t="s">
        <v>268</v>
      </c>
      <c r="F39" s="13" t="s">
        <v>721</v>
      </c>
      <c r="G39" s="13" t="s">
        <v>722</v>
      </c>
      <c r="H39" s="13" t="s">
        <v>271</v>
      </c>
      <c r="I39" s="13" t="s">
        <v>55</v>
      </c>
      <c r="J39" s="13" t="s">
        <v>295</v>
      </c>
      <c r="K39" s="13"/>
      <c r="L39" s="13" t="s">
        <v>47</v>
      </c>
      <c r="M39" s="13"/>
    </row>
    <row r="40" spans="1:13" ht="48.75" customHeight="1" x14ac:dyDescent="0.3">
      <c r="A40" s="13" t="s">
        <v>723</v>
      </c>
      <c r="B40" s="13" t="s">
        <v>698</v>
      </c>
      <c r="C40" s="13" t="s">
        <v>724</v>
      </c>
      <c r="D40" s="13" t="s">
        <v>725</v>
      </c>
      <c r="E40" s="13" t="s">
        <v>268</v>
      </c>
      <c r="F40" s="13" t="s">
        <v>726</v>
      </c>
      <c r="G40" s="13" t="s">
        <v>727</v>
      </c>
      <c r="H40" s="13" t="s">
        <v>304</v>
      </c>
      <c r="I40" s="13" t="s">
        <v>55</v>
      </c>
      <c r="J40" s="13" t="s">
        <v>295</v>
      </c>
      <c r="K40" s="13"/>
      <c r="L40" s="13" t="s">
        <v>47</v>
      </c>
      <c r="M40" s="13"/>
    </row>
  </sheetData>
  <autoFilter ref="A3:M40" xr:uid="{00000000-0009-0000-0000-000005000000}"/>
  <conditionalFormatting sqref="L4:L40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"Blocked"</formula>
    </cfRule>
  </conditionalFormatting>
  <dataValidations count="1">
    <dataValidation type="list" sqref="L4:L40" xr:uid="{00000000-0002-0000-05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4"/>
  <sheetViews>
    <sheetView zoomScale="90" zoomScaleNormal="90" workbookViewId="0"/>
  </sheetViews>
  <sheetFormatPr defaultColWidth="8.6640625" defaultRowHeight="14.4" x14ac:dyDescent="0.3"/>
  <cols>
    <col min="1" max="1" width="10" customWidth="1"/>
    <col min="2" max="2" width="42" customWidth="1"/>
    <col min="3" max="3" width="40" customWidth="1"/>
    <col min="4" max="5" width="24" customWidth="1"/>
    <col min="6" max="6" width="22" customWidth="1"/>
    <col min="7" max="8" width="10" customWidth="1"/>
  </cols>
  <sheetData>
    <row r="1" spans="1:3" ht="17.399999999999999" x14ac:dyDescent="0.3">
      <c r="A1" s="1" t="s">
        <v>728</v>
      </c>
    </row>
    <row r="2" spans="1:3" x14ac:dyDescent="0.3">
      <c r="A2" s="2" t="s">
        <v>729</v>
      </c>
    </row>
    <row r="3" spans="1:3" ht="30" customHeight="1" x14ac:dyDescent="0.3">
      <c r="A3" s="7" t="s">
        <v>179</v>
      </c>
      <c r="B3" s="7" t="s">
        <v>730</v>
      </c>
      <c r="C3" s="7" t="s">
        <v>731</v>
      </c>
    </row>
    <row r="4" spans="1:3" ht="18.75" customHeight="1" x14ac:dyDescent="0.3">
      <c r="A4" s="13" t="s">
        <v>732</v>
      </c>
      <c r="B4" s="13" t="s">
        <v>733</v>
      </c>
      <c r="C4" s="13" t="s">
        <v>734</v>
      </c>
    </row>
    <row r="5" spans="1:3" ht="18.75" customHeight="1" x14ac:dyDescent="0.3">
      <c r="A5" s="13" t="s">
        <v>735</v>
      </c>
      <c r="B5" s="13" t="s">
        <v>736</v>
      </c>
      <c r="C5" s="13"/>
    </row>
    <row r="6" spans="1:3" ht="18.75" customHeight="1" x14ac:dyDescent="0.3">
      <c r="A6" s="13" t="s">
        <v>737</v>
      </c>
      <c r="B6" s="13" t="s">
        <v>738</v>
      </c>
      <c r="C6" s="13"/>
    </row>
    <row r="7" spans="1:3" ht="18.75" customHeight="1" x14ac:dyDescent="0.3">
      <c r="A7" s="13" t="s">
        <v>739</v>
      </c>
      <c r="B7" s="13" t="s">
        <v>740</v>
      </c>
      <c r="C7" s="13" t="s">
        <v>741</v>
      </c>
    </row>
    <row r="8" spans="1:3" ht="18.75" customHeight="1" x14ac:dyDescent="0.3">
      <c r="A8" s="13" t="s">
        <v>742</v>
      </c>
      <c r="B8" s="13" t="s">
        <v>743</v>
      </c>
      <c r="C8" s="13"/>
    </row>
    <row r="9" spans="1:3" ht="18.75" customHeight="1" x14ac:dyDescent="0.3">
      <c r="A9" s="13" t="s">
        <v>744</v>
      </c>
      <c r="B9" s="13" t="s">
        <v>745</v>
      </c>
      <c r="C9" s="13" t="s">
        <v>746</v>
      </c>
    </row>
    <row r="10" spans="1:3" ht="18.75" customHeight="1" x14ac:dyDescent="0.3">
      <c r="A10" s="13" t="s">
        <v>747</v>
      </c>
      <c r="B10" s="13" t="s">
        <v>748</v>
      </c>
      <c r="C10" s="13" t="s">
        <v>749</v>
      </c>
    </row>
    <row r="12" spans="1:3" x14ac:dyDescent="0.3">
      <c r="A12" s="15" t="s">
        <v>750</v>
      </c>
      <c r="B12" s="15" t="s">
        <v>730</v>
      </c>
    </row>
    <row r="13" spans="1:3" x14ac:dyDescent="0.3">
      <c r="A13" s="13" t="s">
        <v>751</v>
      </c>
      <c r="B13" s="13" t="s">
        <v>752</v>
      </c>
    </row>
    <row r="14" spans="1:3" x14ac:dyDescent="0.3">
      <c r="A14" s="13" t="s">
        <v>753</v>
      </c>
      <c r="B14" s="13" t="s">
        <v>754</v>
      </c>
    </row>
    <row r="15" spans="1:3" x14ac:dyDescent="0.3">
      <c r="A15" s="13" t="s">
        <v>755</v>
      </c>
      <c r="B15" s="13" t="s">
        <v>756</v>
      </c>
    </row>
    <row r="16" spans="1:3" ht="26.4" x14ac:dyDescent="0.3">
      <c r="A16" s="13" t="s">
        <v>757</v>
      </c>
      <c r="B16" s="13" t="s">
        <v>758</v>
      </c>
    </row>
    <row r="17" spans="1:8" x14ac:dyDescent="0.3">
      <c r="A17" s="13" t="s">
        <v>759</v>
      </c>
      <c r="B17" s="13" t="s">
        <v>760</v>
      </c>
    </row>
    <row r="18" spans="1:8" x14ac:dyDescent="0.3">
      <c r="A18" s="13" t="s">
        <v>761</v>
      </c>
      <c r="B18" s="13" t="s">
        <v>762</v>
      </c>
    </row>
    <row r="19" spans="1:8" x14ac:dyDescent="0.3">
      <c r="A19" s="13" t="s">
        <v>763</v>
      </c>
      <c r="B19" s="13" t="s">
        <v>764</v>
      </c>
    </row>
    <row r="20" spans="1:8" x14ac:dyDescent="0.3">
      <c r="A20" s="13" t="s">
        <v>765</v>
      </c>
      <c r="B20" s="13" t="s">
        <v>766</v>
      </c>
    </row>
    <row r="22" spans="1:8" x14ac:dyDescent="0.3">
      <c r="A22" s="16" t="s">
        <v>767</v>
      </c>
    </row>
    <row r="23" spans="1:8" x14ac:dyDescent="0.3">
      <c r="A23" s="15" t="s">
        <v>179</v>
      </c>
      <c r="B23" s="15" t="s">
        <v>751</v>
      </c>
      <c r="C23" s="15" t="s">
        <v>753</v>
      </c>
      <c r="D23" s="15" t="s">
        <v>755</v>
      </c>
      <c r="E23" s="15" t="s">
        <v>757</v>
      </c>
      <c r="F23" s="15" t="s">
        <v>759</v>
      </c>
      <c r="G23" s="15" t="s">
        <v>761</v>
      </c>
      <c r="H23" s="15" t="s">
        <v>768</v>
      </c>
    </row>
    <row r="24" spans="1:8" ht="30" customHeight="1" x14ac:dyDescent="0.3">
      <c r="A24" s="17" t="s">
        <v>732</v>
      </c>
      <c r="B24" s="17" t="s">
        <v>769</v>
      </c>
      <c r="C24" s="17" t="s">
        <v>770</v>
      </c>
      <c r="D24" s="17" t="s">
        <v>771</v>
      </c>
      <c r="E24" s="17" t="s">
        <v>772</v>
      </c>
      <c r="F24" s="17" t="s">
        <v>489</v>
      </c>
      <c r="G24" s="17" t="s">
        <v>732</v>
      </c>
      <c r="H24" s="17" t="s">
        <v>489</v>
      </c>
    </row>
    <row r="25" spans="1:8" ht="30" customHeight="1" x14ac:dyDescent="0.3">
      <c r="A25" s="17" t="s">
        <v>735</v>
      </c>
      <c r="B25" s="17" t="s">
        <v>773</v>
      </c>
      <c r="C25" s="17" t="s">
        <v>774</v>
      </c>
      <c r="D25" s="17" t="s">
        <v>489</v>
      </c>
      <c r="E25" s="17" t="s">
        <v>775</v>
      </c>
      <c r="F25" s="17" t="s">
        <v>489</v>
      </c>
      <c r="G25" s="17" t="s">
        <v>732</v>
      </c>
      <c r="H25" s="17" t="s">
        <v>489</v>
      </c>
    </row>
    <row r="26" spans="1:8" ht="30" customHeight="1" x14ac:dyDescent="0.3">
      <c r="A26" s="17" t="s">
        <v>737</v>
      </c>
      <c r="B26" s="17" t="s">
        <v>773</v>
      </c>
      <c r="C26" s="17" t="s">
        <v>776</v>
      </c>
      <c r="D26" s="17" t="s">
        <v>489</v>
      </c>
      <c r="E26" s="17" t="s">
        <v>777</v>
      </c>
      <c r="F26" s="17" t="s">
        <v>489</v>
      </c>
      <c r="G26" s="17" t="s">
        <v>732</v>
      </c>
      <c r="H26" s="17" t="s">
        <v>489</v>
      </c>
    </row>
    <row r="27" spans="1:8" ht="30" customHeight="1" x14ac:dyDescent="0.3">
      <c r="A27" s="17" t="s">
        <v>739</v>
      </c>
      <c r="B27" s="17" t="s">
        <v>778</v>
      </c>
      <c r="C27" s="17" t="s">
        <v>779</v>
      </c>
      <c r="D27" s="17" t="s">
        <v>489</v>
      </c>
      <c r="E27" s="17" t="s">
        <v>780</v>
      </c>
      <c r="F27" s="17" t="s">
        <v>489</v>
      </c>
      <c r="G27" s="17" t="s">
        <v>732</v>
      </c>
      <c r="H27" s="17" t="s">
        <v>489</v>
      </c>
    </row>
    <row r="28" spans="1:8" ht="30" customHeight="1" x14ac:dyDescent="0.3">
      <c r="A28" s="17" t="s">
        <v>742</v>
      </c>
      <c r="B28" s="17" t="s">
        <v>489</v>
      </c>
      <c r="C28" s="17" t="s">
        <v>489</v>
      </c>
      <c r="D28" s="17" t="s">
        <v>489</v>
      </c>
      <c r="E28" s="17" t="s">
        <v>489</v>
      </c>
      <c r="F28" s="17" t="s">
        <v>732</v>
      </c>
      <c r="G28" s="17" t="s">
        <v>489</v>
      </c>
      <c r="H28" s="17" t="s">
        <v>489</v>
      </c>
    </row>
    <row r="29" spans="1:8" ht="30" customHeight="1" x14ac:dyDescent="0.3">
      <c r="A29" s="17" t="s">
        <v>744</v>
      </c>
      <c r="B29" s="17" t="s">
        <v>489</v>
      </c>
      <c r="C29" s="17" t="s">
        <v>489</v>
      </c>
      <c r="D29" s="17" t="s">
        <v>489</v>
      </c>
      <c r="E29" s="17" t="s">
        <v>489</v>
      </c>
      <c r="F29" s="17" t="s">
        <v>489</v>
      </c>
      <c r="G29" s="17" t="s">
        <v>489</v>
      </c>
      <c r="H29" s="17" t="s">
        <v>781</v>
      </c>
    </row>
    <row r="30" spans="1:8" ht="30" customHeight="1" x14ac:dyDescent="0.3">
      <c r="A30" s="17" t="s">
        <v>747</v>
      </c>
      <c r="B30" s="17" t="s">
        <v>782</v>
      </c>
      <c r="C30" s="17" t="s">
        <v>783</v>
      </c>
      <c r="D30" s="17" t="s">
        <v>489</v>
      </c>
      <c r="E30" s="17" t="s">
        <v>784</v>
      </c>
      <c r="F30" s="17" t="s">
        <v>489</v>
      </c>
      <c r="G30" s="17" t="s">
        <v>489</v>
      </c>
      <c r="H30" s="17" t="s">
        <v>489</v>
      </c>
    </row>
    <row r="32" spans="1:8" x14ac:dyDescent="0.3">
      <c r="A32" s="16" t="s">
        <v>785</v>
      </c>
    </row>
    <row r="33" spans="1:8" x14ac:dyDescent="0.3">
      <c r="A33" s="15" t="s">
        <v>786</v>
      </c>
      <c r="B33" s="15" t="s">
        <v>787</v>
      </c>
      <c r="C33" s="15" t="s">
        <v>750</v>
      </c>
      <c r="D33" s="15" t="s">
        <v>788</v>
      </c>
      <c r="E33" s="15" t="s">
        <v>789</v>
      </c>
      <c r="F33" s="15" t="s">
        <v>790</v>
      </c>
      <c r="G33" s="15" t="s">
        <v>791</v>
      </c>
      <c r="H33" s="15" t="s">
        <v>78</v>
      </c>
    </row>
    <row r="34" spans="1:8" x14ac:dyDescent="0.3">
      <c r="A34" s="13" t="s">
        <v>792</v>
      </c>
      <c r="B34" s="13" t="s">
        <v>732</v>
      </c>
      <c r="C34" s="13" t="s">
        <v>751</v>
      </c>
      <c r="D34" s="13" t="s">
        <v>793</v>
      </c>
      <c r="E34" s="13" t="s">
        <v>742</v>
      </c>
      <c r="F34" s="13" t="s">
        <v>794</v>
      </c>
      <c r="G34" s="13" t="s">
        <v>795</v>
      </c>
      <c r="H34" s="13" t="s">
        <v>796</v>
      </c>
    </row>
    <row r="35" spans="1:8" x14ac:dyDescent="0.3">
      <c r="A35" s="13" t="s">
        <v>797</v>
      </c>
      <c r="B35" s="13" t="s">
        <v>732</v>
      </c>
      <c r="C35" s="13" t="s">
        <v>751</v>
      </c>
      <c r="D35" s="13" t="s">
        <v>798</v>
      </c>
      <c r="E35" s="13" t="s">
        <v>744</v>
      </c>
      <c r="F35" s="13" t="s">
        <v>799</v>
      </c>
      <c r="G35" s="13" t="s">
        <v>795</v>
      </c>
      <c r="H35" s="13" t="s">
        <v>800</v>
      </c>
    </row>
    <row r="36" spans="1:8" ht="26.4" x14ac:dyDescent="0.3">
      <c r="A36" s="13" t="s">
        <v>801</v>
      </c>
      <c r="B36" s="13" t="s">
        <v>732</v>
      </c>
      <c r="C36" s="13" t="s">
        <v>753</v>
      </c>
      <c r="D36" s="13"/>
      <c r="E36" s="13" t="s">
        <v>735</v>
      </c>
      <c r="F36" s="13" t="s">
        <v>802</v>
      </c>
      <c r="G36" s="13" t="s">
        <v>795</v>
      </c>
      <c r="H36" s="13" t="s">
        <v>803</v>
      </c>
    </row>
    <row r="37" spans="1:8" ht="26.4" x14ac:dyDescent="0.3">
      <c r="A37" s="13" t="s">
        <v>804</v>
      </c>
      <c r="B37" s="13" t="s">
        <v>732</v>
      </c>
      <c r="C37" s="13" t="s">
        <v>755</v>
      </c>
      <c r="D37" s="13"/>
      <c r="E37" s="13" t="s">
        <v>732</v>
      </c>
      <c r="F37" s="13" t="s">
        <v>802</v>
      </c>
      <c r="G37" s="13" t="s">
        <v>795</v>
      </c>
      <c r="H37" s="13" t="s">
        <v>805</v>
      </c>
    </row>
    <row r="38" spans="1:8" ht="26.4" x14ac:dyDescent="0.3">
      <c r="A38" s="13" t="s">
        <v>806</v>
      </c>
      <c r="B38" s="13" t="s">
        <v>735</v>
      </c>
      <c r="C38" s="13" t="s">
        <v>757</v>
      </c>
      <c r="D38" s="13"/>
      <c r="E38" s="13" t="s">
        <v>735</v>
      </c>
      <c r="F38" s="13" t="s">
        <v>807</v>
      </c>
      <c r="G38" s="13" t="s">
        <v>795</v>
      </c>
      <c r="H38" s="13" t="s">
        <v>808</v>
      </c>
    </row>
    <row r="39" spans="1:8" ht="39.6" x14ac:dyDescent="0.3">
      <c r="A39" s="13" t="s">
        <v>809</v>
      </c>
      <c r="B39" s="13" t="s">
        <v>735</v>
      </c>
      <c r="C39" s="13" t="s">
        <v>751</v>
      </c>
      <c r="D39" s="13"/>
      <c r="E39" s="13" t="s">
        <v>742</v>
      </c>
      <c r="F39" s="13" t="s">
        <v>810</v>
      </c>
      <c r="G39" s="13" t="s">
        <v>795</v>
      </c>
      <c r="H39" s="13" t="s">
        <v>811</v>
      </c>
    </row>
    <row r="40" spans="1:8" ht="26.4" x14ac:dyDescent="0.3">
      <c r="A40" s="13" t="s">
        <v>812</v>
      </c>
      <c r="B40" s="13" t="s">
        <v>735</v>
      </c>
      <c r="C40" s="13" t="s">
        <v>753</v>
      </c>
      <c r="D40" s="13"/>
      <c r="E40" s="13" t="s">
        <v>737</v>
      </c>
      <c r="F40" s="13" t="s">
        <v>802</v>
      </c>
      <c r="G40" s="13" t="s">
        <v>795</v>
      </c>
      <c r="H40" s="13" t="s">
        <v>813</v>
      </c>
    </row>
    <row r="41" spans="1:8" ht="39.6" x14ac:dyDescent="0.3">
      <c r="A41" s="13" t="s">
        <v>814</v>
      </c>
      <c r="B41" s="13" t="s">
        <v>737</v>
      </c>
      <c r="C41" s="13" t="s">
        <v>751</v>
      </c>
      <c r="D41" s="13"/>
      <c r="E41" s="13" t="s">
        <v>742</v>
      </c>
      <c r="F41" s="13" t="s">
        <v>810</v>
      </c>
      <c r="G41" s="13" t="s">
        <v>795</v>
      </c>
      <c r="H41" s="13" t="s">
        <v>815</v>
      </c>
    </row>
    <row r="42" spans="1:8" ht="26.4" x14ac:dyDescent="0.3">
      <c r="A42" s="13" t="s">
        <v>816</v>
      </c>
      <c r="B42" s="13" t="s">
        <v>737</v>
      </c>
      <c r="C42" s="13" t="s">
        <v>753</v>
      </c>
      <c r="D42" s="13" t="s">
        <v>817</v>
      </c>
      <c r="E42" s="13" t="s">
        <v>739</v>
      </c>
      <c r="F42" s="13" t="s">
        <v>802</v>
      </c>
      <c r="G42" s="13" t="s">
        <v>795</v>
      </c>
      <c r="H42" s="13" t="s">
        <v>818</v>
      </c>
    </row>
    <row r="43" spans="1:8" ht="39.6" x14ac:dyDescent="0.3">
      <c r="A43" s="13" t="s">
        <v>819</v>
      </c>
      <c r="B43" s="13" t="s">
        <v>739</v>
      </c>
      <c r="C43" s="13" t="s">
        <v>751</v>
      </c>
      <c r="D43" s="13"/>
      <c r="E43" s="13" t="s">
        <v>739</v>
      </c>
      <c r="F43" s="13" t="s">
        <v>820</v>
      </c>
      <c r="G43" s="13" t="s">
        <v>821</v>
      </c>
      <c r="H43" s="13" t="s">
        <v>822</v>
      </c>
    </row>
    <row r="44" spans="1:8" ht="39.6" x14ac:dyDescent="0.3">
      <c r="A44" s="13" t="s">
        <v>823</v>
      </c>
      <c r="B44" s="13" t="s">
        <v>739</v>
      </c>
      <c r="C44" s="13" t="s">
        <v>753</v>
      </c>
      <c r="D44" s="13"/>
      <c r="E44" s="13" t="s">
        <v>739</v>
      </c>
      <c r="F44" s="13" t="s">
        <v>820</v>
      </c>
      <c r="G44" s="13" t="s">
        <v>821</v>
      </c>
      <c r="H44" s="13" t="s">
        <v>824</v>
      </c>
    </row>
    <row r="45" spans="1:8" x14ac:dyDescent="0.3">
      <c r="A45" s="13" t="s">
        <v>825</v>
      </c>
      <c r="B45" s="13" t="s">
        <v>739</v>
      </c>
      <c r="C45" s="13" t="s">
        <v>761</v>
      </c>
      <c r="D45" s="13"/>
      <c r="E45" s="13" t="s">
        <v>732</v>
      </c>
      <c r="F45" s="13" t="s">
        <v>826</v>
      </c>
      <c r="G45" s="13" t="s">
        <v>795</v>
      </c>
      <c r="H45" s="13" t="s">
        <v>827</v>
      </c>
    </row>
    <row r="46" spans="1:8" x14ac:dyDescent="0.3">
      <c r="A46" s="13" t="s">
        <v>828</v>
      </c>
      <c r="B46" s="13" t="s">
        <v>742</v>
      </c>
      <c r="C46" s="13" t="s">
        <v>759</v>
      </c>
      <c r="D46" s="13"/>
      <c r="E46" s="13" t="s">
        <v>732</v>
      </c>
      <c r="F46" s="13" t="s">
        <v>829</v>
      </c>
      <c r="G46" s="13" t="s">
        <v>795</v>
      </c>
      <c r="H46" s="13" t="s">
        <v>830</v>
      </c>
    </row>
    <row r="47" spans="1:8" x14ac:dyDescent="0.3">
      <c r="A47" s="13" t="s">
        <v>831</v>
      </c>
      <c r="B47" s="13" t="s">
        <v>744</v>
      </c>
      <c r="C47" s="13" t="s">
        <v>765</v>
      </c>
      <c r="D47" s="13"/>
      <c r="E47" s="13" t="s">
        <v>744</v>
      </c>
      <c r="F47" s="13" t="s">
        <v>832</v>
      </c>
      <c r="G47" s="13" t="s">
        <v>795</v>
      </c>
      <c r="H47" s="13" t="s">
        <v>833</v>
      </c>
    </row>
    <row r="48" spans="1:8" x14ac:dyDescent="0.3">
      <c r="A48" s="13" t="s">
        <v>834</v>
      </c>
      <c r="B48" s="13" t="s">
        <v>744</v>
      </c>
      <c r="C48" s="13" t="s">
        <v>763</v>
      </c>
      <c r="D48" s="13"/>
      <c r="E48" s="13" t="s">
        <v>742</v>
      </c>
      <c r="F48" s="13" t="s">
        <v>794</v>
      </c>
      <c r="G48" s="13" t="s">
        <v>795</v>
      </c>
      <c r="H48" s="13" t="s">
        <v>835</v>
      </c>
    </row>
    <row r="49" spans="1:8" ht="39.6" x14ac:dyDescent="0.3">
      <c r="A49" s="13" t="s">
        <v>836</v>
      </c>
      <c r="B49" s="13" t="s">
        <v>747</v>
      </c>
      <c r="C49" s="13" t="s">
        <v>751</v>
      </c>
      <c r="D49" s="13"/>
      <c r="E49" s="13" t="s">
        <v>747</v>
      </c>
      <c r="F49" s="13" t="s">
        <v>837</v>
      </c>
      <c r="G49" s="13" t="s">
        <v>821</v>
      </c>
      <c r="H49" s="13" t="s">
        <v>838</v>
      </c>
    </row>
    <row r="50" spans="1:8" ht="26.4" x14ac:dyDescent="0.3">
      <c r="A50" s="13" t="s">
        <v>839</v>
      </c>
      <c r="B50" s="13" t="s">
        <v>737</v>
      </c>
      <c r="C50" s="13" t="s">
        <v>753</v>
      </c>
      <c r="D50" s="13" t="s">
        <v>840</v>
      </c>
      <c r="E50" s="13" t="s">
        <v>737</v>
      </c>
      <c r="F50" s="13" t="s">
        <v>841</v>
      </c>
      <c r="G50" s="13" t="s">
        <v>842</v>
      </c>
      <c r="H50" s="13" t="s">
        <v>843</v>
      </c>
    </row>
    <row r="51" spans="1:8" ht="26.4" x14ac:dyDescent="0.3">
      <c r="A51" s="13" t="s">
        <v>844</v>
      </c>
      <c r="B51" s="13" t="s">
        <v>737</v>
      </c>
      <c r="C51" s="13" t="s">
        <v>845</v>
      </c>
      <c r="D51" s="13" t="s">
        <v>798</v>
      </c>
      <c r="E51" s="13" t="s">
        <v>742</v>
      </c>
      <c r="F51" s="13" t="s">
        <v>846</v>
      </c>
      <c r="G51" s="13" t="s">
        <v>847</v>
      </c>
      <c r="H51" s="13" t="s">
        <v>848</v>
      </c>
    </row>
    <row r="53" spans="1:8" x14ac:dyDescent="0.3">
      <c r="A53" s="16" t="s">
        <v>849</v>
      </c>
    </row>
    <row r="54" spans="1:8" x14ac:dyDescent="0.3">
      <c r="A54" s="18" t="s">
        <v>850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2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16" customWidth="1"/>
    <col min="4" max="4" width="30" customWidth="1"/>
    <col min="5" max="5" width="26" customWidth="1"/>
    <col min="6" max="6" width="30" customWidth="1"/>
    <col min="7" max="7" width="38" customWidth="1"/>
    <col min="8" max="8" width="42" customWidth="1"/>
    <col min="9" max="9" width="9" customWidth="1"/>
    <col min="10" max="10" width="10" customWidth="1"/>
    <col min="11" max="11" width="22" customWidth="1"/>
    <col min="12" max="12" width="11" customWidth="1"/>
    <col min="13" max="13" width="30" customWidth="1"/>
  </cols>
  <sheetData>
    <row r="1" spans="1:13" ht="17.399999999999999" x14ac:dyDescent="0.3">
      <c r="A1" s="1" t="s">
        <v>851</v>
      </c>
    </row>
    <row r="2" spans="1:13" x14ac:dyDescent="0.3">
      <c r="A2" s="2" t="s">
        <v>252</v>
      </c>
    </row>
    <row r="3" spans="1:13" ht="30" customHeight="1" x14ac:dyDescent="0.3">
      <c r="A3" s="7" t="s">
        <v>253</v>
      </c>
      <c r="B3" s="7" t="s">
        <v>254</v>
      </c>
      <c r="C3" s="7" t="s">
        <v>255</v>
      </c>
      <c r="D3" s="7" t="s">
        <v>256</v>
      </c>
      <c r="E3" s="7" t="s">
        <v>257</v>
      </c>
      <c r="F3" s="7" t="s">
        <v>258</v>
      </c>
      <c r="G3" s="7" t="s">
        <v>259</v>
      </c>
      <c r="H3" s="7" t="s">
        <v>260</v>
      </c>
      <c r="I3" s="7" t="s">
        <v>261</v>
      </c>
      <c r="J3" s="7" t="s">
        <v>262</v>
      </c>
      <c r="K3" s="7" t="s">
        <v>263</v>
      </c>
      <c r="L3" s="7" t="s">
        <v>40</v>
      </c>
      <c r="M3" s="7" t="s">
        <v>264</v>
      </c>
    </row>
    <row r="4" spans="1:13" ht="33.75" customHeight="1" x14ac:dyDescent="0.3">
      <c r="A4" s="13" t="s">
        <v>796</v>
      </c>
      <c r="B4" s="13" t="s">
        <v>852</v>
      </c>
      <c r="C4" s="13" t="s">
        <v>853</v>
      </c>
      <c r="D4" s="13" t="s">
        <v>854</v>
      </c>
      <c r="E4" s="13" t="s">
        <v>855</v>
      </c>
      <c r="F4" s="13" t="s">
        <v>856</v>
      </c>
      <c r="G4" s="13" t="s">
        <v>857</v>
      </c>
      <c r="H4" s="13" t="s">
        <v>858</v>
      </c>
      <c r="I4" s="13" t="s">
        <v>53</v>
      </c>
      <c r="J4" s="13" t="s">
        <v>272</v>
      </c>
      <c r="K4" s="13"/>
      <c r="L4" s="13" t="s">
        <v>47</v>
      </c>
      <c r="M4" s="13"/>
    </row>
    <row r="5" spans="1:13" ht="48.75" customHeight="1" x14ac:dyDescent="0.3">
      <c r="A5" s="13" t="s">
        <v>830</v>
      </c>
      <c r="B5" s="13" t="s">
        <v>760</v>
      </c>
      <c r="C5" s="13" t="s">
        <v>859</v>
      </c>
      <c r="D5" s="13" t="s">
        <v>860</v>
      </c>
      <c r="E5" s="13" t="s">
        <v>861</v>
      </c>
      <c r="F5" s="13" t="s">
        <v>489</v>
      </c>
      <c r="G5" s="13" t="s">
        <v>862</v>
      </c>
      <c r="H5" s="13" t="s">
        <v>863</v>
      </c>
      <c r="I5" s="13" t="s">
        <v>53</v>
      </c>
      <c r="J5" s="13" t="s">
        <v>272</v>
      </c>
      <c r="K5" s="13"/>
      <c r="L5" s="13" t="s">
        <v>47</v>
      </c>
      <c r="M5" s="13"/>
    </row>
    <row r="6" spans="1:13" ht="33.75" customHeight="1" x14ac:dyDescent="0.3">
      <c r="A6" s="13" t="s">
        <v>803</v>
      </c>
      <c r="B6" s="13" t="s">
        <v>864</v>
      </c>
      <c r="C6" s="13" t="s">
        <v>865</v>
      </c>
      <c r="D6" s="13" t="s">
        <v>866</v>
      </c>
      <c r="E6" s="13" t="s">
        <v>855</v>
      </c>
      <c r="F6" s="13" t="s">
        <v>867</v>
      </c>
      <c r="G6" s="13" t="s">
        <v>868</v>
      </c>
      <c r="H6" s="13" t="s">
        <v>869</v>
      </c>
      <c r="I6" s="13" t="s">
        <v>53</v>
      </c>
      <c r="J6" s="13" t="s">
        <v>278</v>
      </c>
      <c r="K6" s="13"/>
      <c r="L6" s="13" t="s">
        <v>47</v>
      </c>
      <c r="M6" s="13"/>
    </row>
    <row r="7" spans="1:13" ht="33.75" customHeight="1" x14ac:dyDescent="0.3">
      <c r="A7" s="13" t="s">
        <v>870</v>
      </c>
      <c r="B7" s="13" t="s">
        <v>871</v>
      </c>
      <c r="C7" s="13" t="s">
        <v>872</v>
      </c>
      <c r="D7" s="13" t="s">
        <v>873</v>
      </c>
      <c r="E7" s="13" t="s">
        <v>874</v>
      </c>
      <c r="F7" s="13" t="s">
        <v>875</v>
      </c>
      <c r="G7" s="13" t="s">
        <v>857</v>
      </c>
      <c r="H7" s="13" t="s">
        <v>876</v>
      </c>
      <c r="I7" s="13" t="s">
        <v>53</v>
      </c>
      <c r="J7" s="13" t="s">
        <v>272</v>
      </c>
      <c r="K7" s="13"/>
      <c r="L7" s="13" t="s">
        <v>47</v>
      </c>
      <c r="M7" s="13"/>
    </row>
    <row r="8" spans="1:13" ht="33.75" customHeight="1" x14ac:dyDescent="0.3">
      <c r="A8" s="13" t="s">
        <v>813</v>
      </c>
      <c r="B8" s="13" t="s">
        <v>877</v>
      </c>
      <c r="C8" s="13" t="s">
        <v>878</v>
      </c>
      <c r="D8" s="13" t="s">
        <v>879</v>
      </c>
      <c r="E8" s="13" t="s">
        <v>874</v>
      </c>
      <c r="F8" s="13" t="s">
        <v>867</v>
      </c>
      <c r="G8" s="13" t="s">
        <v>868</v>
      </c>
      <c r="H8" s="13" t="s">
        <v>880</v>
      </c>
      <c r="I8" s="13" t="s">
        <v>53</v>
      </c>
      <c r="J8" s="13" t="s">
        <v>278</v>
      </c>
      <c r="K8" s="13"/>
      <c r="L8" s="13" t="s">
        <v>47</v>
      </c>
      <c r="M8" s="13"/>
    </row>
    <row r="9" spans="1:13" ht="33.75" customHeight="1" x14ac:dyDescent="0.3">
      <c r="A9" s="13" t="s">
        <v>881</v>
      </c>
      <c r="B9" s="13" t="s">
        <v>882</v>
      </c>
      <c r="C9" s="13" t="s">
        <v>883</v>
      </c>
      <c r="D9" s="13" t="s">
        <v>884</v>
      </c>
      <c r="E9" s="13" t="s">
        <v>885</v>
      </c>
      <c r="F9" s="13" t="s">
        <v>875</v>
      </c>
      <c r="G9" s="13" t="s">
        <v>857</v>
      </c>
      <c r="H9" s="13" t="s">
        <v>886</v>
      </c>
      <c r="I9" s="13" t="s">
        <v>53</v>
      </c>
      <c r="J9" s="13" t="s">
        <v>272</v>
      </c>
      <c r="K9" s="13"/>
      <c r="L9" s="13" t="s">
        <v>47</v>
      </c>
      <c r="M9" s="13"/>
    </row>
    <row r="10" spans="1:13" ht="48.75" customHeight="1" x14ac:dyDescent="0.3">
      <c r="A10" s="13" t="s">
        <v>818</v>
      </c>
      <c r="B10" s="13" t="s">
        <v>887</v>
      </c>
      <c r="C10" s="13" t="s">
        <v>888</v>
      </c>
      <c r="D10" s="13" t="s">
        <v>889</v>
      </c>
      <c r="E10" s="13" t="s">
        <v>885</v>
      </c>
      <c r="F10" s="13" t="s">
        <v>867</v>
      </c>
      <c r="G10" s="13" t="s">
        <v>868</v>
      </c>
      <c r="H10" s="13" t="s">
        <v>890</v>
      </c>
      <c r="I10" s="13" t="s">
        <v>53</v>
      </c>
      <c r="J10" s="13" t="s">
        <v>272</v>
      </c>
      <c r="K10" s="13"/>
      <c r="L10" s="13" t="s">
        <v>47</v>
      </c>
      <c r="M10" s="13" t="s">
        <v>891</v>
      </c>
    </row>
    <row r="11" spans="1:13" ht="48.75" customHeight="1" x14ac:dyDescent="0.3">
      <c r="A11" s="13" t="s">
        <v>822</v>
      </c>
      <c r="B11" s="13" t="s">
        <v>892</v>
      </c>
      <c r="C11" s="13" t="s">
        <v>893</v>
      </c>
      <c r="D11" s="13" t="s">
        <v>894</v>
      </c>
      <c r="E11" s="13" t="s">
        <v>895</v>
      </c>
      <c r="F11" s="13" t="s">
        <v>875</v>
      </c>
      <c r="G11" s="13" t="s">
        <v>857</v>
      </c>
      <c r="H11" s="13" t="s">
        <v>896</v>
      </c>
      <c r="I11" s="13" t="s">
        <v>53</v>
      </c>
      <c r="J11" s="13" t="s">
        <v>272</v>
      </c>
      <c r="K11" s="13"/>
      <c r="L11" s="13" t="s">
        <v>47</v>
      </c>
      <c r="M11" s="13" t="s">
        <v>897</v>
      </c>
    </row>
    <row r="12" spans="1:13" ht="48.75" customHeight="1" x14ac:dyDescent="0.3">
      <c r="A12" s="13" t="s">
        <v>824</v>
      </c>
      <c r="B12" s="13" t="s">
        <v>898</v>
      </c>
      <c r="C12" s="13" t="s">
        <v>899</v>
      </c>
      <c r="D12" s="13" t="s">
        <v>900</v>
      </c>
      <c r="E12" s="13" t="s">
        <v>901</v>
      </c>
      <c r="F12" s="13" t="s">
        <v>867</v>
      </c>
      <c r="G12" s="13" t="s">
        <v>868</v>
      </c>
      <c r="H12" s="13" t="s">
        <v>896</v>
      </c>
      <c r="I12" s="13" t="s">
        <v>54</v>
      </c>
      <c r="J12" s="13" t="s">
        <v>278</v>
      </c>
      <c r="K12" s="13"/>
      <c r="L12" s="13" t="s">
        <v>47</v>
      </c>
      <c r="M12" s="13"/>
    </row>
    <row r="13" spans="1:13" ht="78.75" customHeight="1" x14ac:dyDescent="0.3">
      <c r="A13" s="13" t="s">
        <v>827</v>
      </c>
      <c r="B13" s="13" t="s">
        <v>902</v>
      </c>
      <c r="C13" s="13" t="s">
        <v>903</v>
      </c>
      <c r="D13" s="13" t="s">
        <v>904</v>
      </c>
      <c r="E13" s="13" t="s">
        <v>901</v>
      </c>
      <c r="F13" s="13" t="s">
        <v>875</v>
      </c>
      <c r="G13" s="13" t="s">
        <v>905</v>
      </c>
      <c r="H13" s="13" t="s">
        <v>906</v>
      </c>
      <c r="I13" s="13" t="s">
        <v>53</v>
      </c>
      <c r="J13" s="13" t="s">
        <v>278</v>
      </c>
      <c r="K13" s="13"/>
      <c r="L13" s="13" t="s">
        <v>47</v>
      </c>
      <c r="M13" s="13"/>
    </row>
    <row r="14" spans="1:13" ht="78.75" customHeight="1" x14ac:dyDescent="0.3">
      <c r="A14" s="13" t="s">
        <v>907</v>
      </c>
      <c r="B14" s="13" t="s">
        <v>908</v>
      </c>
      <c r="C14" s="13" t="s">
        <v>909</v>
      </c>
      <c r="D14" s="13" t="s">
        <v>910</v>
      </c>
      <c r="E14" s="13" t="s">
        <v>855</v>
      </c>
      <c r="F14" s="13" t="s">
        <v>911</v>
      </c>
      <c r="G14" s="13" t="s">
        <v>912</v>
      </c>
      <c r="H14" s="13" t="s">
        <v>913</v>
      </c>
      <c r="I14" s="13" t="s">
        <v>53</v>
      </c>
      <c r="J14" s="13" t="s">
        <v>272</v>
      </c>
      <c r="K14" s="13"/>
      <c r="L14" s="13" t="s">
        <v>47</v>
      </c>
      <c r="M14" s="13"/>
    </row>
    <row r="15" spans="1:13" ht="48.75" customHeight="1" x14ac:dyDescent="0.3">
      <c r="A15" s="13" t="s">
        <v>805</v>
      </c>
      <c r="B15" s="13" t="s">
        <v>914</v>
      </c>
      <c r="C15" s="13" t="s">
        <v>915</v>
      </c>
      <c r="D15" s="13" t="s">
        <v>916</v>
      </c>
      <c r="E15" s="13" t="s">
        <v>917</v>
      </c>
      <c r="F15" s="13" t="s">
        <v>918</v>
      </c>
      <c r="G15" s="13" t="s">
        <v>919</v>
      </c>
      <c r="H15" s="13" t="s">
        <v>920</v>
      </c>
      <c r="I15" s="13" t="s">
        <v>54</v>
      </c>
      <c r="J15" s="13" t="s">
        <v>278</v>
      </c>
      <c r="K15" s="13"/>
      <c r="L15" s="13" t="s">
        <v>47</v>
      </c>
      <c r="M15" s="13"/>
    </row>
    <row r="16" spans="1:13" ht="78.75" customHeight="1" x14ac:dyDescent="0.3">
      <c r="A16" s="13" t="s">
        <v>808</v>
      </c>
      <c r="B16" s="13" t="s">
        <v>921</v>
      </c>
      <c r="C16" s="13" t="s">
        <v>922</v>
      </c>
      <c r="D16" s="13" t="s">
        <v>923</v>
      </c>
      <c r="E16" s="13" t="s">
        <v>874</v>
      </c>
      <c r="F16" s="13" t="s">
        <v>924</v>
      </c>
      <c r="G16" s="13" t="s">
        <v>925</v>
      </c>
      <c r="H16" s="13" t="s">
        <v>926</v>
      </c>
      <c r="I16" s="13" t="s">
        <v>54</v>
      </c>
      <c r="J16" s="13" t="s">
        <v>278</v>
      </c>
      <c r="K16" s="13"/>
      <c r="L16" s="13" t="s">
        <v>47</v>
      </c>
      <c r="M16" s="13"/>
    </row>
    <row r="17" spans="1:13" ht="48.75" customHeight="1" x14ac:dyDescent="0.3">
      <c r="A17" s="13" t="s">
        <v>800</v>
      </c>
      <c r="B17" s="13" t="s">
        <v>927</v>
      </c>
      <c r="C17" s="13" t="s">
        <v>928</v>
      </c>
      <c r="D17" s="13" t="s">
        <v>929</v>
      </c>
      <c r="E17" s="13" t="s">
        <v>930</v>
      </c>
      <c r="F17" s="13" t="s">
        <v>875</v>
      </c>
      <c r="G17" s="13" t="s">
        <v>857</v>
      </c>
      <c r="H17" s="13" t="s">
        <v>931</v>
      </c>
      <c r="I17" s="13" t="s">
        <v>55</v>
      </c>
      <c r="J17" s="13" t="s">
        <v>278</v>
      </c>
      <c r="K17" s="13"/>
      <c r="L17" s="13" t="s">
        <v>47</v>
      </c>
      <c r="M17" s="13"/>
    </row>
    <row r="18" spans="1:13" ht="33.75" customHeight="1" x14ac:dyDescent="0.3">
      <c r="A18" s="13" t="s">
        <v>833</v>
      </c>
      <c r="B18" s="13" t="s">
        <v>932</v>
      </c>
      <c r="C18" s="13" t="s">
        <v>933</v>
      </c>
      <c r="D18" s="13" t="s">
        <v>934</v>
      </c>
      <c r="E18" s="13" t="s">
        <v>935</v>
      </c>
      <c r="F18" s="13" t="s">
        <v>936</v>
      </c>
      <c r="G18" s="13" t="s">
        <v>937</v>
      </c>
      <c r="H18" s="13" t="s">
        <v>938</v>
      </c>
      <c r="I18" s="13" t="s">
        <v>55</v>
      </c>
      <c r="J18" s="13" t="s">
        <v>278</v>
      </c>
      <c r="K18" s="13"/>
      <c r="L18" s="13" t="s">
        <v>47</v>
      </c>
      <c r="M18" s="13" t="s">
        <v>939</v>
      </c>
    </row>
    <row r="19" spans="1:13" ht="33.75" customHeight="1" x14ac:dyDescent="0.3">
      <c r="A19" s="13" t="s">
        <v>835</v>
      </c>
      <c r="B19" s="13" t="s">
        <v>940</v>
      </c>
      <c r="C19" s="13" t="s">
        <v>941</v>
      </c>
      <c r="D19" s="13" t="s">
        <v>942</v>
      </c>
      <c r="E19" s="13" t="s">
        <v>935</v>
      </c>
      <c r="F19" s="13" t="s">
        <v>943</v>
      </c>
      <c r="G19" s="13" t="s">
        <v>944</v>
      </c>
      <c r="H19" s="13" t="s">
        <v>886</v>
      </c>
      <c r="I19" s="13" t="s">
        <v>55</v>
      </c>
      <c r="J19" s="13" t="s">
        <v>272</v>
      </c>
      <c r="K19" s="13"/>
      <c r="L19" s="13" t="s">
        <v>47</v>
      </c>
      <c r="M19" s="13"/>
    </row>
    <row r="20" spans="1:13" ht="33.75" customHeight="1" x14ac:dyDescent="0.3">
      <c r="A20" s="13" t="s">
        <v>838</v>
      </c>
      <c r="B20" s="13" t="s">
        <v>748</v>
      </c>
      <c r="C20" s="13" t="s">
        <v>945</v>
      </c>
      <c r="D20" s="13" t="s">
        <v>946</v>
      </c>
      <c r="E20" s="13" t="s">
        <v>947</v>
      </c>
      <c r="F20" s="13" t="s">
        <v>875</v>
      </c>
      <c r="G20" s="13" t="s">
        <v>857</v>
      </c>
      <c r="H20" s="13" t="s">
        <v>948</v>
      </c>
      <c r="I20" s="13" t="s">
        <v>54</v>
      </c>
      <c r="J20" s="13" t="s">
        <v>278</v>
      </c>
      <c r="K20" s="13"/>
      <c r="L20" s="13" t="s">
        <v>47</v>
      </c>
      <c r="M20" s="13"/>
    </row>
    <row r="21" spans="1:13" ht="48.75" customHeight="1" x14ac:dyDescent="0.3">
      <c r="A21" s="13" t="s">
        <v>843</v>
      </c>
      <c r="B21" s="13" t="s">
        <v>949</v>
      </c>
      <c r="C21" s="13" t="s">
        <v>950</v>
      </c>
      <c r="D21" s="13" t="s">
        <v>951</v>
      </c>
      <c r="E21" s="13" t="s">
        <v>952</v>
      </c>
      <c r="F21" s="13" t="s">
        <v>953</v>
      </c>
      <c r="G21" s="13" t="s">
        <v>954</v>
      </c>
      <c r="H21" s="13" t="s">
        <v>955</v>
      </c>
      <c r="I21" s="13" t="s">
        <v>55</v>
      </c>
      <c r="J21" s="13" t="s">
        <v>278</v>
      </c>
      <c r="K21" s="13"/>
      <c r="L21" s="13" t="s">
        <v>47</v>
      </c>
      <c r="M21" s="13" t="s">
        <v>956</v>
      </c>
    </row>
    <row r="22" spans="1:13" ht="63.75" customHeight="1" x14ac:dyDescent="0.3">
      <c r="A22" s="13" t="s">
        <v>848</v>
      </c>
      <c r="B22" s="13" t="s">
        <v>957</v>
      </c>
      <c r="C22" s="13" t="s">
        <v>958</v>
      </c>
      <c r="D22" s="13" t="s">
        <v>959</v>
      </c>
      <c r="E22" s="13" t="s">
        <v>960</v>
      </c>
      <c r="F22" s="13" t="s">
        <v>961</v>
      </c>
      <c r="G22" s="13" t="s">
        <v>962</v>
      </c>
      <c r="H22" s="13" t="s">
        <v>963</v>
      </c>
      <c r="I22" s="13" t="s">
        <v>55</v>
      </c>
      <c r="J22" s="13" t="s">
        <v>272</v>
      </c>
      <c r="K22" s="13"/>
      <c r="L22" s="13" t="s">
        <v>47</v>
      </c>
      <c r="M22" s="14" t="s">
        <v>964</v>
      </c>
    </row>
  </sheetData>
  <autoFilter ref="A3:M22" xr:uid="{00000000-0009-0000-0000-000007000000}"/>
  <conditionalFormatting sqref="L4:L22">
    <cfRule type="cellIs" dxfId="2" priority="2" operator="equal">
      <formula>"Pass"</formula>
    </cfRule>
    <cfRule type="cellIs" dxfId="1" priority="3" operator="equal">
      <formula>"Fail"</formula>
    </cfRule>
    <cfRule type="cellIs" dxfId="0" priority="4" operator="equal">
      <formula>"Blocked"</formula>
    </cfRule>
  </conditionalFormatting>
  <dataValidations count="1">
    <dataValidation type="list" sqref="L4:L22" xr:uid="{00000000-0002-0000-0700-000000000000}">
      <formula1>"Not Run,Pass,Fail,Blocked"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1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99" sqref="K99"/>
    </sheetView>
  </sheetViews>
  <sheetFormatPr defaultColWidth="8.6640625" defaultRowHeight="14.4" x14ac:dyDescent="0.3"/>
  <cols>
    <col min="1" max="1" width="9" customWidth="1"/>
    <col min="2" max="2" width="18" customWidth="1"/>
    <col min="3" max="3" width="40" customWidth="1"/>
    <col min="4" max="4" width="70" customWidth="1"/>
    <col min="5" max="5" width="13" customWidth="1"/>
    <col min="6" max="6" width="14" customWidth="1"/>
    <col min="7" max="7" width="12" customWidth="1"/>
  </cols>
  <sheetData>
    <row r="1" spans="1:7" ht="17.399999999999999" x14ac:dyDescent="0.3">
      <c r="A1" s="1" t="s">
        <v>965</v>
      </c>
    </row>
    <row r="3" spans="1:7" ht="30" customHeight="1" x14ac:dyDescent="0.3">
      <c r="A3" s="7" t="s">
        <v>966</v>
      </c>
      <c r="B3" s="7" t="s">
        <v>72</v>
      </c>
      <c r="C3" s="7" t="s">
        <v>730</v>
      </c>
      <c r="D3" s="7" t="s">
        <v>967</v>
      </c>
      <c r="E3" s="7" t="s">
        <v>968</v>
      </c>
      <c r="F3" s="7" t="s">
        <v>969</v>
      </c>
      <c r="G3" s="7" t="s">
        <v>970</v>
      </c>
    </row>
    <row r="4" spans="1:7" ht="18" customHeight="1" x14ac:dyDescent="0.3">
      <c r="A4" s="13" t="s">
        <v>971</v>
      </c>
      <c r="B4" s="13" t="s">
        <v>79</v>
      </c>
      <c r="C4" s="13" t="s">
        <v>972</v>
      </c>
      <c r="D4" s="19" t="s">
        <v>973</v>
      </c>
      <c r="E4" s="13">
        <f t="shared" ref="E4:E31" si="0">LEN(D4)</f>
        <v>1</v>
      </c>
      <c r="F4" s="13">
        <v>1</v>
      </c>
      <c r="G4" s="13" t="str">
        <f t="shared" ref="G4:G31" si="1">IF(E4=F4,"OK","CHECK")</f>
        <v>OK</v>
      </c>
    </row>
    <row r="5" spans="1:7" ht="18" customHeight="1" x14ac:dyDescent="0.3">
      <c r="A5" s="13" t="s">
        <v>974</v>
      </c>
      <c r="B5" s="13" t="s">
        <v>79</v>
      </c>
      <c r="C5" s="13" t="s">
        <v>975</v>
      </c>
      <c r="D5" s="19" t="str">
        <f>REPT("A",40)</f>
        <v>AAAAAAAAAAAAAAAAAAAAAAAAAAAAAAAAAAAAAAAA</v>
      </c>
      <c r="E5" s="13">
        <f t="shared" si="0"/>
        <v>40</v>
      </c>
      <c r="F5" s="13">
        <v>40</v>
      </c>
      <c r="G5" s="13" t="str">
        <f t="shared" si="1"/>
        <v>OK</v>
      </c>
    </row>
    <row r="6" spans="1:7" ht="18" customHeight="1" x14ac:dyDescent="0.3">
      <c r="A6" s="13" t="s">
        <v>976</v>
      </c>
      <c r="B6" s="13" t="s">
        <v>79</v>
      </c>
      <c r="C6" s="13" t="s">
        <v>977</v>
      </c>
      <c r="D6" s="19" t="str">
        <f>REPT("A",41)</f>
        <v>AAAAAAAAAAAAAAAAAAAAAAAAAAAAAAAAAAAAAAAAA</v>
      </c>
      <c r="E6" s="13">
        <f t="shared" si="0"/>
        <v>41</v>
      </c>
      <c r="F6" s="13">
        <v>41</v>
      </c>
      <c r="G6" s="13" t="str">
        <f t="shared" si="1"/>
        <v>OK</v>
      </c>
    </row>
    <row r="7" spans="1:7" ht="18" customHeight="1" x14ac:dyDescent="0.3">
      <c r="A7" s="13" t="s">
        <v>978</v>
      </c>
      <c r="B7" s="13" t="s">
        <v>102</v>
      </c>
      <c r="C7" s="13" t="s">
        <v>972</v>
      </c>
      <c r="D7" s="19" t="s">
        <v>979</v>
      </c>
      <c r="E7" s="13">
        <f t="shared" si="0"/>
        <v>1</v>
      </c>
      <c r="F7" s="13">
        <v>1</v>
      </c>
      <c r="G7" s="13" t="str">
        <f t="shared" si="1"/>
        <v>OK</v>
      </c>
    </row>
    <row r="8" spans="1:7" ht="18" customHeight="1" x14ac:dyDescent="0.3">
      <c r="A8" s="13" t="s">
        <v>980</v>
      </c>
      <c r="B8" s="13" t="s">
        <v>102</v>
      </c>
      <c r="C8" s="13" t="s">
        <v>981</v>
      </c>
      <c r="D8" s="19" t="str">
        <f>REPT("P",20)</f>
        <v>PPPPPPPPPPPPPPPPPPPP</v>
      </c>
      <c r="E8" s="13">
        <f t="shared" si="0"/>
        <v>20</v>
      </c>
      <c r="F8" s="13">
        <v>20</v>
      </c>
      <c r="G8" s="13" t="str">
        <f t="shared" si="1"/>
        <v>OK</v>
      </c>
    </row>
    <row r="9" spans="1:7" ht="18" customHeight="1" x14ac:dyDescent="0.3">
      <c r="A9" s="13" t="s">
        <v>982</v>
      </c>
      <c r="B9" s="13" t="s">
        <v>102</v>
      </c>
      <c r="C9" s="13" t="s">
        <v>983</v>
      </c>
      <c r="D9" s="19" t="str">
        <f>REPT("P",21)</f>
        <v>PPPPPPPPPPPPPPPPPPPPP</v>
      </c>
      <c r="E9" s="13">
        <f t="shared" si="0"/>
        <v>21</v>
      </c>
      <c r="F9" s="13">
        <v>21</v>
      </c>
      <c r="G9" s="13" t="str">
        <f t="shared" si="1"/>
        <v>OK</v>
      </c>
    </row>
    <row r="10" spans="1:7" ht="18" customHeight="1" x14ac:dyDescent="0.3">
      <c r="A10" s="13" t="s">
        <v>984</v>
      </c>
      <c r="B10" s="13" t="s">
        <v>170</v>
      </c>
      <c r="C10" s="13" t="s">
        <v>985</v>
      </c>
      <c r="D10" s="19" t="str">
        <f>REPT("S",70)</f>
        <v>SSSSSSSSSSSSSSSSSSSSSSSSSSSSSSSSSSSSSSSSSSSSSSSSSSSSSSSSSSSSSSSSSSSSSS</v>
      </c>
      <c r="E10" s="13">
        <f t="shared" si="0"/>
        <v>70</v>
      </c>
      <c r="F10" s="13">
        <v>70</v>
      </c>
      <c r="G10" s="13" t="str">
        <f t="shared" si="1"/>
        <v>OK</v>
      </c>
    </row>
    <row r="11" spans="1:7" ht="18" customHeight="1" x14ac:dyDescent="0.3">
      <c r="A11" s="13" t="s">
        <v>986</v>
      </c>
      <c r="B11" s="13" t="s">
        <v>170</v>
      </c>
      <c r="C11" s="13" t="s">
        <v>987</v>
      </c>
      <c r="D11" s="19" t="str">
        <f>REPT("S",71)</f>
        <v>SSSSSSSSSSSSSSSSSSSSSSSSSSSSSSSSSSSSSSSSSSSSSSSSSSSSSSSSSSSSSSSSSSSSSSS</v>
      </c>
      <c r="E11" s="13">
        <f t="shared" si="0"/>
        <v>71</v>
      </c>
      <c r="F11" s="13">
        <v>71</v>
      </c>
      <c r="G11" s="13" t="str">
        <f t="shared" si="1"/>
        <v>OK</v>
      </c>
    </row>
    <row r="12" spans="1:7" ht="18" customHeight="1" x14ac:dyDescent="0.3">
      <c r="A12" s="13" t="s">
        <v>988</v>
      </c>
      <c r="B12" s="13" t="s">
        <v>175</v>
      </c>
      <c r="C12" s="13" t="s">
        <v>975</v>
      </c>
      <c r="D12" s="19" t="str">
        <f>REPT("C",40)</f>
        <v>CCCCCCCCCCCCCCCCCCCCCCCCCCCCCCCCCCCCCCCC</v>
      </c>
      <c r="E12" s="13">
        <f t="shared" si="0"/>
        <v>40</v>
      </c>
      <c r="F12" s="13">
        <v>40</v>
      </c>
      <c r="G12" s="13" t="str">
        <f t="shared" si="1"/>
        <v>OK</v>
      </c>
    </row>
    <row r="13" spans="1:7" ht="18" customHeight="1" x14ac:dyDescent="0.3">
      <c r="A13" s="13" t="s">
        <v>989</v>
      </c>
      <c r="B13" s="13" t="s">
        <v>175</v>
      </c>
      <c r="C13" s="13" t="s">
        <v>977</v>
      </c>
      <c r="D13" s="19" t="str">
        <f>REPT("C",41)</f>
        <v>CCCCCCCCCCCCCCCCCCCCCCCCCCCCCCCCCCCCCCCCC</v>
      </c>
      <c r="E13" s="13">
        <f t="shared" si="0"/>
        <v>41</v>
      </c>
      <c r="F13" s="13">
        <v>41</v>
      </c>
      <c r="G13" s="13" t="str">
        <f t="shared" si="1"/>
        <v>OK</v>
      </c>
    </row>
    <row r="14" spans="1:7" ht="18" customHeight="1" x14ac:dyDescent="0.3">
      <c r="A14" s="13" t="s">
        <v>990</v>
      </c>
      <c r="B14" s="13" t="s">
        <v>179</v>
      </c>
      <c r="C14" s="13" t="s">
        <v>975</v>
      </c>
      <c r="D14" s="19" t="str">
        <f>REPT("T",40)</f>
        <v>TTTTTTTTTTTTTTTTTTTTTTTTTTTTTTTTTTTTTTTT</v>
      </c>
      <c r="E14" s="13">
        <f t="shared" si="0"/>
        <v>40</v>
      </c>
      <c r="F14" s="13">
        <v>40</v>
      </c>
      <c r="G14" s="13" t="str">
        <f t="shared" si="1"/>
        <v>OK</v>
      </c>
    </row>
    <row r="15" spans="1:7" ht="18" customHeight="1" x14ac:dyDescent="0.3">
      <c r="A15" s="13" t="s">
        <v>991</v>
      </c>
      <c r="B15" s="13" t="s">
        <v>179</v>
      </c>
      <c r="C15" s="13" t="s">
        <v>977</v>
      </c>
      <c r="D15" s="19" t="str">
        <f>REPT("T",41)</f>
        <v>TTTTTTTTTTTTTTTTTTTTTTTTTTTTTTTTTTTTTTTTT</v>
      </c>
      <c r="E15" s="13">
        <f t="shared" si="0"/>
        <v>41</v>
      </c>
      <c r="F15" s="13">
        <v>41</v>
      </c>
      <c r="G15" s="13" t="str">
        <f t="shared" si="1"/>
        <v>OK</v>
      </c>
    </row>
    <row r="16" spans="1:7" ht="18" customHeight="1" x14ac:dyDescent="0.3">
      <c r="A16" s="13" t="s">
        <v>992</v>
      </c>
      <c r="B16" s="13" t="s">
        <v>464</v>
      </c>
      <c r="C16" s="13" t="s">
        <v>993</v>
      </c>
      <c r="D16" s="19" t="s">
        <v>994</v>
      </c>
      <c r="E16" s="13">
        <f t="shared" si="0"/>
        <v>10</v>
      </c>
      <c r="F16" s="13">
        <v>10</v>
      </c>
      <c r="G16" s="13" t="str">
        <f t="shared" si="1"/>
        <v>OK</v>
      </c>
    </row>
    <row r="17" spans="1:7" ht="18" customHeight="1" x14ac:dyDescent="0.3">
      <c r="A17" s="13" t="s">
        <v>995</v>
      </c>
      <c r="B17" s="13" t="s">
        <v>464</v>
      </c>
      <c r="C17" s="13" t="s">
        <v>996</v>
      </c>
      <c r="D17" s="19" t="s">
        <v>997</v>
      </c>
      <c r="E17" s="13">
        <f t="shared" si="0"/>
        <v>11</v>
      </c>
      <c r="F17" s="13">
        <v>11</v>
      </c>
      <c r="G17" s="13" t="str">
        <f t="shared" si="1"/>
        <v>OK</v>
      </c>
    </row>
    <row r="18" spans="1:7" ht="18" customHeight="1" x14ac:dyDescent="0.3">
      <c r="A18" s="13" t="s">
        <v>998</v>
      </c>
      <c r="B18" s="13" t="s">
        <v>183</v>
      </c>
      <c r="C18" s="13" t="s">
        <v>999</v>
      </c>
      <c r="D18" s="19" t="str">
        <f>REPT("9",24)</f>
        <v>999999999999999999999999</v>
      </c>
      <c r="E18" s="13">
        <f t="shared" si="0"/>
        <v>24</v>
      </c>
      <c r="F18" s="13">
        <v>24</v>
      </c>
      <c r="G18" s="13" t="str">
        <f t="shared" si="1"/>
        <v>OK</v>
      </c>
    </row>
    <row r="19" spans="1:7" ht="18" customHeight="1" x14ac:dyDescent="0.3">
      <c r="A19" s="13" t="s">
        <v>1000</v>
      </c>
      <c r="B19" s="13" t="s">
        <v>183</v>
      </c>
      <c r="C19" s="13" t="s">
        <v>1001</v>
      </c>
      <c r="D19" s="19" t="str">
        <f>REPT("9",25)</f>
        <v>9999999999999999999999999</v>
      </c>
      <c r="E19" s="13">
        <f t="shared" si="0"/>
        <v>25</v>
      </c>
      <c r="F19" s="13">
        <v>25</v>
      </c>
      <c r="G19" s="13" t="str">
        <f t="shared" si="1"/>
        <v>OK</v>
      </c>
    </row>
    <row r="20" spans="1:7" ht="18" customHeight="1" x14ac:dyDescent="0.3">
      <c r="A20" s="13" t="s">
        <v>1002</v>
      </c>
      <c r="B20" s="13" t="s">
        <v>200</v>
      </c>
      <c r="C20" s="13" t="s">
        <v>1003</v>
      </c>
      <c r="D20" s="19" t="str">
        <f>REPT("q",61)&amp;"r01@example.com"</f>
        <v>qqqqqqqqqqqqqqqqqqqqqqqqqqqqqqqqqqqqqqqqqqqqqqqqqqqqqqqqqqqqqr01@example.com</v>
      </c>
      <c r="E20" s="13">
        <f t="shared" si="0"/>
        <v>76</v>
      </c>
      <c r="F20" s="13">
        <v>76</v>
      </c>
      <c r="G20" s="13" t="str">
        <f t="shared" si="1"/>
        <v>OK</v>
      </c>
    </row>
    <row r="21" spans="1:7" ht="18" customHeight="1" x14ac:dyDescent="0.3">
      <c r="A21" s="13" t="s">
        <v>1004</v>
      </c>
      <c r="B21" s="13" t="s">
        <v>200</v>
      </c>
      <c r="C21" s="13" t="s">
        <v>1005</v>
      </c>
      <c r="D21" s="19" t="str">
        <f>REPT("q",62)&amp;"r01@example.com"</f>
        <v>qqqqqqqqqqqqqqqqqqqqqqqqqqqqqqqqqqqqqqqqqqqqqqqqqqqqqqqqqqqqqqr01@example.com</v>
      </c>
      <c r="E21" s="13">
        <f t="shared" si="0"/>
        <v>77</v>
      </c>
      <c r="F21" s="13">
        <v>77</v>
      </c>
      <c r="G21" s="13" t="str">
        <f t="shared" si="1"/>
        <v>OK</v>
      </c>
    </row>
    <row r="22" spans="1:7" ht="18" customHeight="1" x14ac:dyDescent="0.3">
      <c r="A22" s="13" t="s">
        <v>1006</v>
      </c>
      <c r="B22" s="13" t="s">
        <v>200</v>
      </c>
      <c r="C22" s="13" t="s">
        <v>1007</v>
      </c>
      <c r="D22" s="19" t="str">
        <f>REPT("q",61)&amp;"r01@"&amp;REPT("d",63)&amp;"."&amp;REPT("d",63)&amp;"."&amp;REPT("d",59)&amp;".com"</f>
        <v>qqqqqqqqqqqqqqqqqqqqqqqqqqqqqqqqqqqqqqqqqqqqqqqqqqqqqqqqqqqqqr01@ddddddddddddddddddddddddddddddddddddddddddddddddddddddddddddddd.ddddddddddddddddddddddddddddddddddddddddddddddddddddddddddddddd.ddddddddddddddddddddddddddddddddddddddddddddddddddddddddddd.com</v>
      </c>
      <c r="E22" s="13">
        <f t="shared" si="0"/>
        <v>256</v>
      </c>
      <c r="F22" s="13">
        <v>256</v>
      </c>
      <c r="G22" s="13" t="str">
        <f t="shared" si="1"/>
        <v>OK</v>
      </c>
    </row>
    <row r="23" spans="1:7" ht="18" customHeight="1" x14ac:dyDescent="0.3">
      <c r="A23" s="13" t="s">
        <v>1008</v>
      </c>
      <c r="B23" s="13" t="s">
        <v>200</v>
      </c>
      <c r="C23" s="13" t="s">
        <v>1009</v>
      </c>
      <c r="D23" s="19" t="str">
        <f>REPT("q",61)&amp;"r01@"&amp;REPT("d",63)&amp;"."&amp;REPT("d",63)&amp;"."&amp;REPT("d",60)&amp;".com"</f>
        <v>qqqqqqqqqqqqqqqqqqqqqqqqqqqqqqqqqqqqqqqqqqqqqqqqqqqqqqqqqqqqqr01@ddddddddddddddddddddddddddddddddddddddddddddddddddddddddddddddd.ddddddddddddddddddddddddddddddddddddddddddddddddddddddddddddddd.dddddddddddddddddddddddddddddddddddddddddddddddddddddddddddd.com</v>
      </c>
      <c r="E23" s="13">
        <f t="shared" si="0"/>
        <v>257</v>
      </c>
      <c r="F23" s="13">
        <v>257</v>
      </c>
      <c r="G23" s="13" t="str">
        <f t="shared" si="1"/>
        <v>OK</v>
      </c>
    </row>
    <row r="24" spans="1:7" ht="18" customHeight="1" x14ac:dyDescent="0.3">
      <c r="A24" s="13" t="s">
        <v>1010</v>
      </c>
      <c r="B24" s="13" t="s">
        <v>1011</v>
      </c>
      <c r="C24" s="13" t="s">
        <v>1012</v>
      </c>
      <c r="D24" s="19" t="str">
        <f ca="1">TEXT(EDATE(TODAY(),-216)-1,"yyyy-mm-dd")</f>
        <v>2008-10-07</v>
      </c>
      <c r="E24" s="13">
        <f t="shared" ca="1" si="0"/>
        <v>10</v>
      </c>
      <c r="F24" s="13">
        <v>10</v>
      </c>
      <c r="G24" s="13" t="str">
        <f t="shared" ca="1" si="1"/>
        <v>OK</v>
      </c>
    </row>
    <row r="25" spans="1:7" ht="18" customHeight="1" x14ac:dyDescent="0.3">
      <c r="A25" s="13" t="s">
        <v>1013</v>
      </c>
      <c r="B25" s="13" t="s">
        <v>1011</v>
      </c>
      <c r="C25" s="13" t="s">
        <v>1014</v>
      </c>
      <c r="D25" s="19" t="str">
        <f ca="1">TEXT(EDATE(TODAY(),-216),"yyyy-mm-dd")</f>
        <v>2008-10-08</v>
      </c>
      <c r="E25" s="13">
        <f t="shared" ca="1" si="0"/>
        <v>10</v>
      </c>
      <c r="F25" s="13">
        <v>10</v>
      </c>
      <c r="G25" s="13" t="str">
        <f t="shared" ca="1" si="1"/>
        <v>OK</v>
      </c>
    </row>
    <row r="26" spans="1:7" ht="18" customHeight="1" x14ac:dyDescent="0.3">
      <c r="A26" s="13" t="s">
        <v>1015</v>
      </c>
      <c r="B26" s="13" t="s">
        <v>1011</v>
      </c>
      <c r="C26" s="13" t="s">
        <v>1016</v>
      </c>
      <c r="D26" s="19" t="str">
        <f ca="1">TEXT(EDATE(TODAY(),-216)+1,"yyyy-mm-dd")</f>
        <v>2008-10-09</v>
      </c>
      <c r="E26" s="13">
        <f t="shared" ca="1" si="0"/>
        <v>10</v>
      </c>
      <c r="F26" s="13">
        <v>10</v>
      </c>
      <c r="G26" s="13" t="str">
        <f t="shared" ca="1" si="1"/>
        <v>OK</v>
      </c>
    </row>
    <row r="27" spans="1:7" ht="18" customHeight="1" x14ac:dyDescent="0.3">
      <c r="A27" s="13" t="s">
        <v>1017</v>
      </c>
      <c r="B27" s="13" t="s">
        <v>1011</v>
      </c>
      <c r="C27" s="13" t="s">
        <v>1018</v>
      </c>
      <c r="D27" s="19" t="str">
        <f ca="1">TEXT(EDATE(TODAY(),-900)+1,"yyyy-mm-dd")</f>
        <v>1951-10-09</v>
      </c>
      <c r="E27" s="13">
        <f t="shared" ca="1" si="0"/>
        <v>10</v>
      </c>
      <c r="F27" s="13">
        <v>10</v>
      </c>
      <c r="G27" s="13" t="str">
        <f t="shared" ca="1" si="1"/>
        <v>OK</v>
      </c>
    </row>
    <row r="28" spans="1:7" ht="18" customHeight="1" x14ac:dyDescent="0.3">
      <c r="A28" s="13" t="s">
        <v>1019</v>
      </c>
      <c r="B28" s="13" t="s">
        <v>1011</v>
      </c>
      <c r="C28" s="13" t="s">
        <v>1020</v>
      </c>
      <c r="D28" s="19" t="str">
        <f ca="1">TEXT(EDATE(TODAY(),-900),"yyyy-mm-dd")</f>
        <v>1951-10-08</v>
      </c>
      <c r="E28" s="13">
        <f t="shared" ca="1" si="0"/>
        <v>10</v>
      </c>
      <c r="F28" s="13">
        <v>10</v>
      </c>
      <c r="G28" s="13" t="str">
        <f t="shared" ca="1" si="1"/>
        <v>OK</v>
      </c>
    </row>
    <row r="29" spans="1:7" ht="18" customHeight="1" x14ac:dyDescent="0.3">
      <c r="A29" s="13" t="s">
        <v>1021</v>
      </c>
      <c r="B29" s="13" t="s">
        <v>1011</v>
      </c>
      <c r="C29" s="13" t="s">
        <v>1022</v>
      </c>
      <c r="D29" s="19" t="str">
        <f ca="1">TEXT(EDATE(TODAY(),-900)-1,"yyyy-mm-dd")</f>
        <v>1951-10-07</v>
      </c>
      <c r="E29" s="13">
        <f t="shared" ca="1" si="0"/>
        <v>10</v>
      </c>
      <c r="F29" s="13">
        <v>10</v>
      </c>
      <c r="G29" s="13" t="str">
        <f t="shared" ca="1" si="1"/>
        <v>OK</v>
      </c>
    </row>
    <row r="30" spans="1:7" ht="18" customHeight="1" x14ac:dyDescent="0.3">
      <c r="A30" s="13" t="s">
        <v>1023</v>
      </c>
      <c r="B30" s="13" t="s">
        <v>1011</v>
      </c>
      <c r="C30" s="13" t="s">
        <v>1024</v>
      </c>
      <c r="D30" s="19" t="str">
        <f ca="1">TEXT(EDATE(TODAY(),-120),"yyyy-mm-dd")</f>
        <v>2016-10-08</v>
      </c>
      <c r="E30" s="13">
        <f t="shared" ca="1" si="0"/>
        <v>10</v>
      </c>
      <c r="F30" s="13">
        <v>10</v>
      </c>
      <c r="G30" s="13" t="str">
        <f t="shared" ca="1" si="1"/>
        <v>OK</v>
      </c>
    </row>
    <row r="31" spans="1:7" ht="18" customHeight="1" x14ac:dyDescent="0.3">
      <c r="A31" s="13" t="s">
        <v>1025</v>
      </c>
      <c r="B31" s="13" t="s">
        <v>1011</v>
      </c>
      <c r="C31" s="13" t="s">
        <v>1026</v>
      </c>
      <c r="D31" s="19" t="str">
        <f ca="1">TEXT(EDATE(TODAY(),-960),"yyyy-mm-dd")</f>
        <v>1946-10-08</v>
      </c>
      <c r="E31" s="13">
        <f t="shared" ca="1" si="0"/>
        <v>10</v>
      </c>
      <c r="F31" s="13">
        <v>10</v>
      </c>
      <c r="G31" s="13" t="str">
        <f t="shared" ca="1" si="1"/>
        <v>OK</v>
      </c>
    </row>
  </sheetData>
  <autoFilter ref="A3:G31" xr:uid="{00000000-0009-0000-0000-000008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Plan</vt:lpstr>
      <vt:lpstr>Summary</vt:lpstr>
      <vt:lpstr>EP Analysis</vt:lpstr>
      <vt:lpstr>TC - EP</vt:lpstr>
      <vt:lpstr>BVA Analysis</vt:lpstr>
      <vt:lpstr>TC - BVA</vt:lpstr>
      <vt:lpstr>STT Model</vt:lpstr>
      <vt:lpstr>TC - STT</vt:lpstr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Renuka Porje</cp:lastModifiedBy>
  <cp:revision>0</cp:revision>
  <dcterms:created xsi:type="dcterms:W3CDTF">2026-10-08T04:02:27Z</dcterms:created>
  <dcterms:modified xsi:type="dcterms:W3CDTF">2026-10-08T06:58:59Z</dcterms:modified>
  <dc:language>en-US</dc:language>
</cp:coreProperties>
</file>